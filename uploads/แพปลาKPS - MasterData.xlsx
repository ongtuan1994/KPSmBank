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885fb680552b6e9/Desktop/"/>
    </mc:Choice>
  </mc:AlternateContent>
  <xr:revisionPtr revIDLastSave="33" documentId="8_{E6842905-2EFB-40D5-9BFA-71D4EBD58941}" xr6:coauthVersionLast="47" xr6:coauthVersionMax="47" xr10:uidLastSave="{3852C092-A29E-4435-9A25-1BBF68B359F6}"/>
  <bookViews>
    <workbookView xWindow="-120" yWindow="-120" windowWidth="29040" windowHeight="15720" xr2:uid="{F1F2479C-5433-4A43-8846-0D52BE164050}"/>
  </bookViews>
  <sheets>
    <sheet name="ลิสต์รายการโอนงิน" sheetId="5" r:id="rId1"/>
    <sheet name="รายงานโอนเงินแบบรายยปี" sheetId="7" r:id="rId2"/>
    <sheet name="บัญชีโอน" sheetId="1" r:id="rId3"/>
    <sheet name="ใบสำคัญจ่าย" sheetId="2" r:id="rId4"/>
  </sheets>
  <externalReferences>
    <externalReference r:id="rId5"/>
    <externalReference r:id="rId6"/>
    <externalReference r:id="rId7"/>
  </externalReferences>
  <definedNames>
    <definedName name="_xlnm._FilterDatabase" localSheetId="2" hidden="1">บัญชีโอน!$A$1:$H$696</definedName>
    <definedName name="_xlnm.Print_Area" localSheetId="2">บัญชีโอน!$A$1:$H$674</definedName>
    <definedName name="_xlnm.Print_Titles" localSheetId="0">ลิสต์รายการโอนงิน!$1:$3</definedName>
  </definedNames>
  <calcPr calcId="191029"/>
  <pivotCaches>
    <pivotCache cacheId="4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404" i="7" l="1"/>
  <c r="O404" i="7"/>
  <c r="M404" i="7"/>
  <c r="L404" i="7"/>
  <c r="K404" i="7"/>
  <c r="J404" i="7"/>
  <c r="I404" i="7"/>
  <c r="H404" i="7"/>
  <c r="G404" i="7"/>
  <c r="F404" i="7"/>
  <c r="E404" i="7"/>
  <c r="D404" i="7"/>
  <c r="Q404" i="7" s="1"/>
  <c r="Q403" i="7"/>
  <c r="Q400" i="7"/>
  <c r="Q399" i="7"/>
  <c r="Q398" i="7"/>
  <c r="Q397" i="7"/>
  <c r="Q396" i="7"/>
  <c r="Q395" i="7"/>
  <c r="Q394" i="7"/>
  <c r="Q393" i="7"/>
  <c r="Q392" i="7"/>
  <c r="Q391" i="7"/>
  <c r="Q390" i="7"/>
  <c r="Q389" i="7"/>
  <c r="Q388" i="7"/>
  <c r="Q387" i="7"/>
  <c r="Q386" i="7"/>
  <c r="Q385" i="7"/>
  <c r="Q384" i="7"/>
  <c r="Q383" i="7"/>
  <c r="Q382" i="7"/>
  <c r="Q381" i="7"/>
  <c r="Q380" i="7"/>
  <c r="Q379" i="7"/>
  <c r="Q378" i="7"/>
  <c r="Q377" i="7"/>
  <c r="Q376" i="7"/>
  <c r="Q375" i="7"/>
  <c r="Q374" i="7"/>
  <c r="Q373" i="7"/>
  <c r="Q372" i="7"/>
  <c r="Q371" i="7"/>
  <c r="Q370" i="7"/>
  <c r="Q369" i="7"/>
  <c r="Q368" i="7"/>
  <c r="Q367" i="7"/>
  <c r="Q366" i="7"/>
  <c r="Q365" i="7"/>
  <c r="Q364" i="7"/>
  <c r="Q363" i="7"/>
  <c r="Q362" i="7"/>
  <c r="Q361" i="7"/>
  <c r="Q360" i="7"/>
  <c r="Q358" i="7"/>
  <c r="Q357" i="7"/>
  <c r="Q356" i="7"/>
  <c r="Q355" i="7"/>
  <c r="Q354" i="7"/>
  <c r="Q353" i="7"/>
  <c r="Q352" i="7"/>
  <c r="Q351" i="7"/>
  <c r="Q350" i="7"/>
  <c r="Q349" i="7"/>
  <c r="Q348" i="7"/>
  <c r="Q347" i="7"/>
  <c r="Q346" i="7"/>
  <c r="Q345" i="7"/>
  <c r="Q344" i="7"/>
  <c r="Q343" i="7"/>
  <c r="Q342" i="7"/>
  <c r="Q341" i="7"/>
  <c r="Q340" i="7"/>
  <c r="Q338" i="7"/>
  <c r="Q337" i="7"/>
  <c r="Q336" i="7"/>
  <c r="Q335" i="7"/>
  <c r="Q334" i="7"/>
  <c r="Q333" i="7"/>
  <c r="Q332" i="7"/>
  <c r="Q331" i="7"/>
  <c r="Q330" i="7"/>
  <c r="Q328" i="7"/>
  <c r="Q327" i="7"/>
  <c r="Q326" i="7"/>
  <c r="Q325" i="7"/>
  <c r="Q324" i="7"/>
  <c r="Q323" i="7"/>
  <c r="Q321" i="7"/>
  <c r="Q320" i="7"/>
  <c r="Q319" i="7"/>
  <c r="Q318" i="7"/>
  <c r="Q317" i="7"/>
  <c r="Q316" i="7"/>
  <c r="Q315" i="7"/>
  <c r="Q314" i="7"/>
  <c r="Q313" i="7"/>
  <c r="Q312" i="7"/>
  <c r="Q311" i="7"/>
  <c r="Q310" i="7"/>
  <c r="Q309" i="7"/>
  <c r="Q308" i="7"/>
  <c r="Q307" i="7"/>
  <c r="Q306" i="7"/>
  <c r="Q305" i="7"/>
  <c r="Q304" i="7"/>
  <c r="Q303" i="7"/>
  <c r="Q302" i="7"/>
  <c r="Q301" i="7"/>
  <c r="Q300" i="7"/>
  <c r="Q299" i="7"/>
  <c r="Q298" i="7"/>
  <c r="Q297" i="7"/>
  <c r="Q296" i="7"/>
  <c r="Q295" i="7"/>
  <c r="Q294" i="7"/>
  <c r="Q293" i="7"/>
  <c r="Q292" i="7"/>
  <c r="Q291" i="7"/>
  <c r="Q290" i="7"/>
  <c r="Q289" i="7"/>
  <c r="Q288" i="7"/>
  <c r="Q287" i="7"/>
  <c r="Q286" i="7"/>
  <c r="Q285" i="7"/>
  <c r="Q284" i="7"/>
  <c r="Q283" i="7"/>
  <c r="Q282" i="7"/>
  <c r="Q281" i="7"/>
  <c r="Q280" i="7"/>
  <c r="Q279" i="7"/>
  <c r="Q278" i="7"/>
  <c r="Q277" i="7"/>
  <c r="Q275" i="7"/>
  <c r="Q274" i="7"/>
  <c r="Q272" i="7"/>
  <c r="Q271" i="7"/>
  <c r="Q270" i="7"/>
  <c r="Q269" i="7"/>
  <c r="Q268" i="7"/>
  <c r="Q267" i="7"/>
  <c r="Q266" i="7"/>
  <c r="Q265" i="7"/>
  <c r="Q264" i="7"/>
  <c r="Q263" i="7"/>
  <c r="Q262" i="7"/>
  <c r="Q261" i="7"/>
  <c r="Q260" i="7"/>
  <c r="Q259" i="7"/>
  <c r="Q258" i="7"/>
  <c r="Q257" i="7"/>
  <c r="Q256" i="7"/>
  <c r="Q255" i="7"/>
  <c r="Q254" i="7"/>
  <c r="Q253" i="7"/>
  <c r="Q252" i="7"/>
  <c r="Q250" i="7"/>
  <c r="Q249" i="7"/>
  <c r="Q248" i="7"/>
  <c r="Q247" i="7"/>
  <c r="Q246" i="7"/>
  <c r="Q245" i="7"/>
  <c r="Q244" i="7"/>
  <c r="Q243" i="7"/>
  <c r="Q242" i="7"/>
  <c r="Q241" i="7"/>
  <c r="Q240" i="7"/>
  <c r="Q239" i="7"/>
  <c r="Q238" i="7"/>
  <c r="Q237" i="7"/>
  <c r="Q236" i="7"/>
  <c r="Q235" i="7"/>
  <c r="Q234" i="7"/>
  <c r="Q233" i="7"/>
  <c r="Q232" i="7"/>
  <c r="Q231" i="7"/>
  <c r="Q230" i="7"/>
  <c r="Q229" i="7"/>
  <c r="Q228" i="7"/>
  <c r="Q227" i="7"/>
  <c r="Q226" i="7"/>
  <c r="Q225" i="7"/>
  <c r="Q224" i="7"/>
  <c r="Q223" i="7"/>
  <c r="Q222" i="7"/>
  <c r="Q221" i="7"/>
  <c r="Q220" i="7"/>
  <c r="Q219" i="7"/>
  <c r="Q218" i="7"/>
  <c r="Q217" i="7"/>
  <c r="Q216" i="7"/>
  <c r="Q215" i="7"/>
  <c r="Q214" i="7"/>
  <c r="Q213" i="7"/>
  <c r="Q212" i="7"/>
  <c r="Q211" i="7"/>
  <c r="Q210" i="7"/>
  <c r="Q209" i="7"/>
  <c r="Q208" i="7"/>
  <c r="Q207" i="7"/>
  <c r="Q206" i="7"/>
  <c r="Q205" i="7"/>
  <c r="Q204" i="7"/>
  <c r="Q203" i="7"/>
  <c r="Q202" i="7"/>
  <c r="Q201" i="7"/>
  <c r="Q200" i="7"/>
  <c r="Q199" i="7"/>
  <c r="Q198" i="7"/>
  <c r="Q197" i="7"/>
  <c r="Q196" i="7"/>
  <c r="Q195" i="7"/>
  <c r="Q194" i="7"/>
  <c r="Q193" i="7"/>
  <c r="Q192" i="7"/>
  <c r="Q191" i="7"/>
  <c r="Q190" i="7"/>
  <c r="Q189" i="7"/>
  <c r="Q188" i="7"/>
  <c r="Q187" i="7"/>
  <c r="Q186" i="7"/>
  <c r="Q185" i="7"/>
  <c r="Q184" i="7"/>
  <c r="Q183" i="7"/>
  <c r="Q182" i="7"/>
  <c r="Q181" i="7"/>
  <c r="Q180" i="7"/>
  <c r="Q179" i="7"/>
  <c r="Q178" i="7"/>
  <c r="Q177" i="7"/>
  <c r="Q176" i="7"/>
  <c r="Q175" i="7"/>
  <c r="Q174" i="7"/>
  <c r="Q173" i="7"/>
  <c r="Q172" i="7"/>
  <c r="Q171" i="7"/>
  <c r="Q170" i="7"/>
  <c r="Q169" i="7"/>
  <c r="Q168" i="7"/>
  <c r="Q167" i="7"/>
  <c r="Q166" i="7"/>
  <c r="Q165" i="7"/>
  <c r="Q163" i="7"/>
  <c r="Q162" i="7"/>
  <c r="Q160" i="7"/>
  <c r="Q159" i="7"/>
  <c r="Q158" i="7"/>
  <c r="Q157" i="7"/>
  <c r="Q156" i="7"/>
  <c r="Q155" i="7"/>
  <c r="Q154" i="7"/>
  <c r="Q153" i="7"/>
  <c r="Q152" i="7"/>
  <c r="Q151" i="7"/>
  <c r="Q150" i="7"/>
  <c r="Q149" i="7"/>
  <c r="Q148" i="7"/>
  <c r="Q147" i="7"/>
  <c r="Q146" i="7"/>
  <c r="Q145" i="7"/>
  <c r="Q144" i="7"/>
  <c r="Q143" i="7"/>
  <c r="Q142" i="7"/>
  <c r="Q141" i="7"/>
  <c r="Q139" i="7"/>
  <c r="Q138" i="7"/>
  <c r="Q137" i="7"/>
  <c r="Q136" i="7"/>
  <c r="Q135" i="7"/>
  <c r="Q134" i="7"/>
  <c r="Q133" i="7"/>
  <c r="Q132" i="7"/>
  <c r="Q131" i="7"/>
  <c r="Q130" i="7"/>
  <c r="Q129" i="7"/>
  <c r="Q128" i="7"/>
  <c r="Q127" i="7"/>
  <c r="Q126" i="7"/>
  <c r="Q125" i="7"/>
  <c r="Q124" i="7"/>
  <c r="Q123" i="7"/>
  <c r="Q122" i="7"/>
  <c r="Q121" i="7"/>
  <c r="Q120" i="7"/>
  <c r="Q119" i="7"/>
  <c r="Q118" i="7"/>
  <c r="Q117" i="7"/>
  <c r="Q116" i="7"/>
  <c r="Q114" i="7"/>
  <c r="Q113" i="7"/>
  <c r="Q112" i="7"/>
  <c r="Q111" i="7"/>
  <c r="Q109" i="7"/>
  <c r="Q108" i="7"/>
  <c r="Q107" i="7"/>
  <c r="Q106" i="7"/>
  <c r="Q105" i="7"/>
  <c r="Q104" i="7"/>
  <c r="Q103" i="7"/>
  <c r="Q102" i="7"/>
  <c r="Q101" i="7"/>
  <c r="Q100" i="7"/>
  <c r="Q99" i="7"/>
  <c r="Q98" i="7"/>
  <c r="Q97" i="7"/>
  <c r="Q96" i="7"/>
  <c r="Q95" i="7"/>
  <c r="Q94" i="7"/>
  <c r="Q93" i="7"/>
  <c r="Q92" i="7"/>
  <c r="Q91" i="7"/>
  <c r="Q90" i="7"/>
  <c r="Q88" i="7"/>
  <c r="Q87" i="7"/>
  <c r="Q86" i="7"/>
  <c r="Q85" i="7"/>
  <c r="Q83" i="7"/>
  <c r="Q81" i="7"/>
  <c r="Q80" i="7"/>
  <c r="Q79" i="7"/>
  <c r="Q78" i="7"/>
  <c r="Q76" i="7"/>
  <c r="Q74" i="7"/>
  <c r="Q73" i="7"/>
  <c r="Q72" i="7"/>
  <c r="Q71" i="7"/>
  <c r="Q70" i="7"/>
  <c r="Q69" i="7"/>
  <c r="Q68" i="7"/>
  <c r="Q67" i="7"/>
  <c r="Q65" i="7"/>
  <c r="Q64" i="7"/>
  <c r="Q63" i="7"/>
  <c r="Q62" i="7"/>
  <c r="Q61" i="7"/>
  <c r="Q60" i="7"/>
  <c r="Q59" i="7"/>
  <c r="Q58" i="7"/>
  <c r="Q57" i="7"/>
  <c r="Q56" i="7"/>
  <c r="Q55" i="7"/>
  <c r="Q54" i="7"/>
  <c r="Q53" i="7"/>
  <c r="Q51" i="7"/>
  <c r="Q50" i="7"/>
  <c r="Q48" i="7"/>
  <c r="Q47" i="7"/>
  <c r="Q46" i="7"/>
  <c r="Q45" i="7"/>
  <c r="Q44" i="7"/>
  <c r="Q43" i="7"/>
  <c r="Q42" i="7"/>
  <c r="Q41" i="7"/>
  <c r="Q40" i="7"/>
  <c r="Q39" i="7"/>
  <c r="Q38" i="7"/>
  <c r="Q37" i="7"/>
  <c r="Q36" i="7"/>
  <c r="Q35" i="7"/>
  <c r="Q34" i="7"/>
  <c r="Q33" i="7"/>
  <c r="Q32" i="7"/>
  <c r="Q31" i="7"/>
  <c r="Q30" i="7"/>
  <c r="Q29" i="7"/>
  <c r="Q28" i="7"/>
  <c r="Q27" i="7"/>
  <c r="Q26" i="7"/>
  <c r="Q25" i="7"/>
  <c r="Q24" i="7"/>
  <c r="Q23" i="7"/>
  <c r="Q22" i="7"/>
  <c r="Q21" i="7"/>
  <c r="Q20" i="7"/>
  <c r="Q19" i="7"/>
  <c r="Q18" i="7"/>
  <c r="Q17" i="7"/>
  <c r="Q16" i="7"/>
  <c r="Q15" i="7"/>
  <c r="Q14" i="7"/>
  <c r="Q13" i="7"/>
  <c r="Q12" i="7"/>
  <c r="Q11" i="7"/>
  <c r="Q10" i="7"/>
  <c r="Q9" i="7"/>
  <c r="Q8" i="7"/>
  <c r="Q7" i="7"/>
  <c r="Q6" i="7"/>
  <c r="Q5" i="7"/>
  <c r="Q4" i="7"/>
  <c r="Q3" i="7"/>
  <c r="Q2" i="7"/>
  <c r="G20" i="2"/>
  <c r="O14" i="2"/>
  <c r="F16" i="2" s="1"/>
  <c r="O10" i="2"/>
  <c r="G10" i="2"/>
  <c r="D10" i="2"/>
  <c r="J6" i="2"/>
  <c r="N6" i="2" s="1"/>
  <c r="H6" i="2"/>
  <c r="O4" i="2"/>
  <c r="C6" i="2" l="1"/>
  <c r="J224" i="5" l="1"/>
  <c r="I224" i="5"/>
  <c r="P223" i="5"/>
  <c r="O223" i="5"/>
  <c r="N223" i="5"/>
  <c r="H223" i="5"/>
  <c r="M222" i="5"/>
  <c r="H222" i="5"/>
  <c r="H221" i="5"/>
  <c r="H220" i="5"/>
  <c r="P219" i="5"/>
  <c r="O219" i="5"/>
  <c r="N219" i="5"/>
  <c r="H219" i="5"/>
  <c r="M218" i="5"/>
  <c r="H218" i="5"/>
  <c r="H217" i="5"/>
  <c r="H216" i="5"/>
  <c r="H215" i="5"/>
  <c r="H214" i="5"/>
  <c r="H213" i="5"/>
  <c r="H212" i="5"/>
  <c r="H211" i="5"/>
  <c r="H210" i="5"/>
  <c r="H209" i="5"/>
  <c r="H208" i="5"/>
  <c r="H207" i="5"/>
  <c r="H206" i="5"/>
  <c r="H205" i="5"/>
  <c r="H204" i="5"/>
  <c r="H203" i="5"/>
  <c r="H202" i="5"/>
  <c r="H201" i="5"/>
  <c r="O200" i="5"/>
  <c r="P200" i="5" s="1"/>
  <c r="N200" i="5"/>
  <c r="H200" i="5"/>
  <c r="M199" i="5"/>
  <c r="H199" i="5"/>
  <c r="H198" i="5"/>
  <c r="O197" i="5"/>
  <c r="P197" i="5" s="1"/>
  <c r="N197" i="5"/>
  <c r="H197" i="5"/>
  <c r="M196" i="5"/>
  <c r="H196" i="5"/>
  <c r="H195" i="5"/>
  <c r="H194" i="5"/>
  <c r="H193" i="5"/>
  <c r="H192" i="5"/>
  <c r="H191" i="5"/>
  <c r="H190" i="5"/>
  <c r="O189" i="5"/>
  <c r="P189" i="5" s="1"/>
  <c r="N189" i="5"/>
  <c r="H189" i="5"/>
  <c r="M188" i="5"/>
  <c r="H188" i="5"/>
  <c r="H187" i="5"/>
  <c r="H186" i="5"/>
  <c r="H185" i="5"/>
  <c r="H184" i="5"/>
  <c r="H183" i="5"/>
  <c r="H182" i="5"/>
  <c r="P181" i="5"/>
  <c r="O181" i="5"/>
  <c r="N181" i="5"/>
  <c r="H181" i="5"/>
  <c r="M180" i="5"/>
  <c r="H180" i="5"/>
  <c r="H179" i="5"/>
  <c r="H178" i="5"/>
  <c r="H177" i="5"/>
  <c r="H176" i="5"/>
  <c r="H175" i="5"/>
  <c r="O174" i="5"/>
  <c r="P174" i="5" s="1"/>
  <c r="N174" i="5"/>
  <c r="H174" i="5"/>
  <c r="M173" i="5"/>
  <c r="H173" i="5"/>
  <c r="H172" i="5"/>
  <c r="H171" i="5"/>
  <c r="H170" i="5"/>
  <c r="H169" i="5"/>
  <c r="P168" i="5"/>
  <c r="O168" i="5"/>
  <c r="N168" i="5"/>
  <c r="H168" i="5"/>
  <c r="M167" i="5"/>
  <c r="H167" i="5"/>
  <c r="H166" i="5"/>
  <c r="H165" i="5"/>
  <c r="H164" i="5"/>
  <c r="H163" i="5"/>
  <c r="H162" i="5"/>
  <c r="O161" i="5"/>
  <c r="P161" i="5" s="1"/>
  <c r="N161" i="5"/>
  <c r="H161" i="5"/>
  <c r="M160" i="5"/>
  <c r="H160" i="5"/>
  <c r="H159" i="5"/>
  <c r="H158" i="5"/>
  <c r="H157" i="5"/>
  <c r="H156" i="5"/>
  <c r="H155" i="5"/>
  <c r="H154" i="5"/>
  <c r="AI153" i="5"/>
  <c r="H153" i="5"/>
  <c r="H152" i="5"/>
  <c r="H151" i="5"/>
  <c r="H150" i="5"/>
  <c r="H149" i="5"/>
  <c r="H148" i="5"/>
  <c r="H147" i="5"/>
  <c r="H146" i="5"/>
  <c r="P145" i="5"/>
  <c r="O145" i="5"/>
  <c r="N145" i="5"/>
  <c r="H145" i="5"/>
  <c r="M144" i="5"/>
  <c r="H144" i="5"/>
  <c r="H143" i="5"/>
  <c r="H142" i="5"/>
  <c r="H141" i="5"/>
  <c r="H140" i="5"/>
  <c r="H139" i="5"/>
  <c r="H138" i="5"/>
  <c r="H137" i="5"/>
  <c r="H136" i="5"/>
  <c r="H135" i="5"/>
  <c r="O134" i="5"/>
  <c r="P134" i="5" s="1"/>
  <c r="N134" i="5"/>
  <c r="H134" i="5"/>
  <c r="M133" i="5"/>
  <c r="H133" i="5"/>
  <c r="H132" i="5"/>
  <c r="H131" i="5"/>
  <c r="O130" i="5"/>
  <c r="P130" i="5" s="1"/>
  <c r="N130" i="5"/>
  <c r="H130" i="5"/>
  <c r="M129" i="5"/>
  <c r="H129" i="5"/>
  <c r="H128" i="5"/>
  <c r="H127" i="5"/>
  <c r="H126" i="5"/>
  <c r="H124" i="5"/>
  <c r="H123" i="5"/>
  <c r="P122" i="5"/>
  <c r="O122" i="5"/>
  <c r="N122" i="5"/>
  <c r="H122" i="5"/>
  <c r="M121" i="5"/>
  <c r="H121" i="5"/>
  <c r="H120" i="5"/>
  <c r="H119" i="5"/>
  <c r="H118" i="5"/>
  <c r="H117" i="5"/>
  <c r="H116" i="5"/>
  <c r="H115" i="5"/>
  <c r="O114" i="5"/>
  <c r="P114" i="5" s="1"/>
  <c r="N114" i="5"/>
  <c r="H114" i="5"/>
  <c r="M113" i="5"/>
  <c r="H113" i="5"/>
  <c r="P112" i="5"/>
  <c r="O112" i="5"/>
  <c r="N112" i="5"/>
  <c r="H112" i="5"/>
  <c r="M111" i="5"/>
  <c r="H111" i="5"/>
  <c r="H110" i="5"/>
  <c r="H109" i="5"/>
  <c r="H108" i="5"/>
  <c r="H107" i="5"/>
  <c r="H106" i="5"/>
  <c r="H105" i="5"/>
  <c r="H104" i="5"/>
  <c r="P103" i="5"/>
  <c r="O103" i="5"/>
  <c r="N103" i="5"/>
  <c r="H103" i="5"/>
  <c r="M102" i="5"/>
  <c r="H102" i="5"/>
  <c r="O101" i="5"/>
  <c r="P101" i="5" s="1"/>
  <c r="N101" i="5"/>
  <c r="H101" i="5"/>
  <c r="M100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O87" i="5"/>
  <c r="P87" i="5" s="1"/>
  <c r="N87" i="5"/>
  <c r="H87" i="5"/>
  <c r="M86" i="5"/>
  <c r="H86" i="5"/>
  <c r="H85" i="5"/>
  <c r="O84" i="5"/>
  <c r="P84" i="5" s="1"/>
  <c r="N84" i="5"/>
  <c r="H84" i="5"/>
  <c r="M83" i="5"/>
  <c r="H83" i="5"/>
  <c r="H82" i="5"/>
  <c r="AI81" i="5"/>
  <c r="H81" i="5"/>
  <c r="H80" i="5"/>
  <c r="H79" i="5"/>
  <c r="P78" i="5"/>
  <c r="O78" i="5"/>
  <c r="N78" i="5"/>
  <c r="H78" i="5"/>
  <c r="M77" i="5"/>
  <c r="H77" i="5"/>
  <c r="H76" i="5"/>
  <c r="P75" i="5"/>
  <c r="O75" i="5"/>
  <c r="N75" i="5"/>
  <c r="H75" i="5"/>
  <c r="M74" i="5"/>
  <c r="H74" i="5"/>
  <c r="AI73" i="5"/>
  <c r="H73" i="5"/>
  <c r="H72" i="5"/>
  <c r="H71" i="5"/>
  <c r="H70" i="5"/>
  <c r="H69" i="5"/>
  <c r="H68" i="5"/>
  <c r="H67" i="5"/>
  <c r="H66" i="5"/>
  <c r="H65" i="5"/>
  <c r="H64" i="5"/>
  <c r="H63" i="5"/>
  <c r="P62" i="5"/>
  <c r="O62" i="5"/>
  <c r="N62" i="5"/>
  <c r="H62" i="5"/>
  <c r="M61" i="5"/>
  <c r="H61" i="5"/>
  <c r="H60" i="5"/>
  <c r="O59" i="5"/>
  <c r="P59" i="5" s="1"/>
  <c r="N59" i="5"/>
  <c r="H59" i="5"/>
  <c r="M58" i="5"/>
  <c r="H58" i="5"/>
  <c r="H57" i="5"/>
  <c r="H56" i="5"/>
  <c r="H55" i="5"/>
  <c r="H54" i="5"/>
  <c r="H53" i="5"/>
  <c r="H52" i="5"/>
  <c r="AI51" i="5"/>
  <c r="H51" i="5"/>
  <c r="H50" i="5"/>
  <c r="H49" i="5"/>
  <c r="H48" i="5"/>
  <c r="H47" i="5"/>
  <c r="H46" i="5"/>
  <c r="H45" i="5"/>
  <c r="P44" i="5"/>
  <c r="O44" i="5"/>
  <c r="N44" i="5"/>
  <c r="H44" i="5"/>
  <c r="M43" i="5"/>
  <c r="H43" i="5"/>
  <c r="AI42" i="5"/>
  <c r="H42" i="5"/>
  <c r="O41" i="5"/>
  <c r="P41" i="5" s="1"/>
  <c r="N41" i="5"/>
  <c r="H41" i="5"/>
  <c r="M40" i="5"/>
  <c r="H40" i="5"/>
  <c r="H39" i="5"/>
  <c r="H38" i="5"/>
  <c r="AI37" i="5"/>
  <c r="H37" i="5"/>
  <c r="H36" i="5"/>
  <c r="P35" i="5"/>
  <c r="O35" i="5"/>
  <c r="N35" i="5"/>
  <c r="H35" i="5"/>
  <c r="M34" i="5"/>
  <c r="H34" i="5"/>
  <c r="H33" i="5"/>
  <c r="H32" i="5"/>
  <c r="H31" i="5"/>
  <c r="H30" i="5"/>
  <c r="H29" i="5"/>
  <c r="H28" i="5"/>
  <c r="H27" i="5"/>
  <c r="AI26" i="5"/>
  <c r="H26" i="5"/>
  <c r="H25" i="5"/>
  <c r="H24" i="5"/>
  <c r="O23" i="5"/>
  <c r="P23" i="5" s="1"/>
  <c r="N23" i="5"/>
  <c r="H23" i="5"/>
  <c r="M22" i="5"/>
  <c r="H22" i="5"/>
  <c r="H21" i="5"/>
  <c r="AB20" i="5"/>
  <c r="H20" i="5"/>
  <c r="AB19" i="5"/>
  <c r="H19" i="5"/>
  <c r="H18" i="5"/>
  <c r="T17" i="5"/>
  <c r="X4" i="5" s="1"/>
  <c r="X21" i="5" s="1"/>
  <c r="AB4" i="5" s="1"/>
  <c r="AB17" i="5" s="1"/>
  <c r="AB21" i="5" s="1"/>
  <c r="H17" i="5"/>
  <c r="H16" i="5"/>
  <c r="H15" i="5"/>
  <c r="H14" i="5"/>
  <c r="H13" i="5"/>
  <c r="O12" i="5"/>
  <c r="P12" i="5" s="1"/>
  <c r="N12" i="5"/>
  <c r="H12" i="5"/>
  <c r="M11" i="5"/>
  <c r="H11" i="5"/>
  <c r="H10" i="5"/>
  <c r="H9" i="5"/>
  <c r="H8" i="5"/>
  <c r="H7" i="5"/>
  <c r="H6" i="5"/>
  <c r="K5" i="5"/>
  <c r="K6" i="5" s="1"/>
  <c r="K7" i="5" s="1"/>
  <c r="K8" i="5" s="1"/>
  <c r="K9" i="5" s="1"/>
  <c r="K10" i="5" s="1"/>
  <c r="K11" i="5" s="1"/>
  <c r="K12" i="5" s="1"/>
  <c r="K13" i="5" s="1"/>
  <c r="K14" i="5" s="1"/>
  <c r="K15" i="5" s="1"/>
  <c r="K16" i="5" s="1"/>
  <c r="K17" i="5" s="1"/>
  <c r="K18" i="5" s="1"/>
  <c r="K19" i="5" s="1"/>
  <c r="K20" i="5" s="1"/>
  <c r="K21" i="5" s="1"/>
  <c r="K22" i="5" s="1"/>
  <c r="K23" i="5" s="1"/>
  <c r="K24" i="5" s="1"/>
  <c r="K25" i="5" s="1"/>
  <c r="K26" i="5" s="1"/>
  <c r="K27" i="5" s="1"/>
  <c r="K28" i="5" s="1"/>
  <c r="K29" i="5" s="1"/>
  <c r="K30" i="5" s="1"/>
  <c r="K31" i="5" s="1"/>
  <c r="K32" i="5" s="1"/>
  <c r="K33" i="5" s="1"/>
  <c r="K34" i="5" s="1"/>
  <c r="K35" i="5" s="1"/>
  <c r="K36" i="5" s="1"/>
  <c r="K37" i="5" s="1"/>
  <c r="K38" i="5" s="1"/>
  <c r="K39" i="5" s="1"/>
  <c r="K40" i="5" s="1"/>
  <c r="K41" i="5" s="1"/>
  <c r="K42" i="5" s="1"/>
  <c r="K43" i="5" s="1"/>
  <c r="K44" i="5" s="1"/>
  <c r="K45" i="5" s="1"/>
  <c r="K46" i="5" s="1"/>
  <c r="K47" i="5" s="1"/>
  <c r="K48" i="5" s="1"/>
  <c r="K49" i="5" s="1"/>
  <c r="K50" i="5" s="1"/>
  <c r="K51" i="5" s="1"/>
  <c r="K52" i="5" s="1"/>
  <c r="K53" i="5" s="1"/>
  <c r="K54" i="5" s="1"/>
  <c r="K55" i="5" s="1"/>
  <c r="K56" i="5" s="1"/>
  <c r="K57" i="5" s="1"/>
  <c r="K58" i="5" s="1"/>
  <c r="K59" i="5" s="1"/>
  <c r="K60" i="5" s="1"/>
  <c r="K61" i="5" s="1"/>
  <c r="K62" i="5" s="1"/>
  <c r="K63" i="5" s="1"/>
  <c r="K64" i="5" s="1"/>
  <c r="K65" i="5" s="1"/>
  <c r="K66" i="5" s="1"/>
  <c r="K67" i="5" s="1"/>
  <c r="K68" i="5" s="1"/>
  <c r="K69" i="5" s="1"/>
  <c r="K70" i="5" s="1"/>
  <c r="K71" i="5" s="1"/>
  <c r="K72" i="5" s="1"/>
  <c r="K73" i="5" s="1"/>
  <c r="K74" i="5" s="1"/>
  <c r="K75" i="5" s="1"/>
  <c r="K76" i="5" s="1"/>
  <c r="K77" i="5" s="1"/>
  <c r="K78" i="5" s="1"/>
  <c r="K79" i="5" s="1"/>
  <c r="K80" i="5" s="1"/>
  <c r="K81" i="5" s="1"/>
  <c r="K82" i="5" s="1"/>
  <c r="K83" i="5" s="1"/>
  <c r="K84" i="5" s="1"/>
  <c r="K85" i="5" s="1"/>
  <c r="K86" i="5" s="1"/>
  <c r="K87" i="5" s="1"/>
  <c r="K88" i="5" s="1"/>
  <c r="K89" i="5" s="1"/>
  <c r="K90" i="5" s="1"/>
  <c r="K91" i="5" s="1"/>
  <c r="K92" i="5" s="1"/>
  <c r="K93" i="5" s="1"/>
  <c r="K94" i="5" s="1"/>
  <c r="K95" i="5" s="1"/>
  <c r="K96" i="5" s="1"/>
  <c r="K97" i="5" s="1"/>
  <c r="K98" i="5" s="1"/>
  <c r="K99" i="5" s="1"/>
  <c r="K100" i="5" s="1"/>
  <c r="K101" i="5" s="1"/>
  <c r="K102" i="5" s="1"/>
  <c r="K103" i="5" s="1"/>
  <c r="K104" i="5" s="1"/>
  <c r="K105" i="5" s="1"/>
  <c r="K106" i="5" s="1"/>
  <c r="K107" i="5" s="1"/>
  <c r="K108" i="5" s="1"/>
  <c r="K109" i="5" s="1"/>
  <c r="K110" i="5" s="1"/>
  <c r="K111" i="5" s="1"/>
  <c r="K112" i="5" s="1"/>
  <c r="K113" i="5" s="1"/>
  <c r="K114" i="5" s="1"/>
  <c r="K115" i="5" s="1"/>
  <c r="K116" i="5" s="1"/>
  <c r="K117" i="5" s="1"/>
  <c r="K118" i="5" s="1"/>
  <c r="K119" i="5" s="1"/>
  <c r="K120" i="5" s="1"/>
  <c r="K121" i="5" s="1"/>
  <c r="K122" i="5" s="1"/>
  <c r="K123" i="5" s="1"/>
  <c r="K124" i="5" s="1"/>
  <c r="K125" i="5" s="1"/>
  <c r="K126" i="5" s="1"/>
  <c r="K127" i="5" s="1"/>
  <c r="K128" i="5" s="1"/>
  <c r="K129" i="5" s="1"/>
  <c r="K130" i="5" s="1"/>
  <c r="K131" i="5" s="1"/>
  <c r="K132" i="5" s="1"/>
  <c r="K133" i="5" s="1"/>
  <c r="K134" i="5" s="1"/>
  <c r="K135" i="5" s="1"/>
  <c r="K136" i="5" s="1"/>
  <c r="K137" i="5" s="1"/>
  <c r="K138" i="5" s="1"/>
  <c r="K139" i="5" s="1"/>
  <c r="K140" i="5" s="1"/>
  <c r="K141" i="5" s="1"/>
  <c r="K142" i="5" s="1"/>
  <c r="K143" i="5" s="1"/>
  <c r="K144" i="5" s="1"/>
  <c r="K145" i="5" s="1"/>
  <c r="K146" i="5" s="1"/>
  <c r="K147" i="5" s="1"/>
  <c r="K148" i="5" s="1"/>
  <c r="K149" i="5" s="1"/>
  <c r="K150" i="5" s="1"/>
  <c r="K151" i="5" s="1"/>
  <c r="K152" i="5" s="1"/>
  <c r="K153" i="5" s="1"/>
  <c r="K154" i="5" s="1"/>
  <c r="K155" i="5" s="1"/>
  <c r="K156" i="5" s="1"/>
  <c r="K157" i="5" s="1"/>
  <c r="K158" i="5" s="1"/>
  <c r="K159" i="5" s="1"/>
  <c r="K160" i="5" s="1"/>
  <c r="K161" i="5" s="1"/>
  <c r="K162" i="5" s="1"/>
  <c r="K163" i="5" s="1"/>
  <c r="K164" i="5" s="1"/>
  <c r="K165" i="5" s="1"/>
  <c r="K166" i="5" s="1"/>
  <c r="K167" i="5" s="1"/>
  <c r="K168" i="5" s="1"/>
  <c r="K169" i="5" s="1"/>
  <c r="K170" i="5" s="1"/>
  <c r="K171" i="5" s="1"/>
  <c r="K172" i="5" s="1"/>
  <c r="K173" i="5" s="1"/>
  <c r="K174" i="5" s="1"/>
  <c r="K175" i="5" s="1"/>
  <c r="K176" i="5" s="1"/>
  <c r="K177" i="5" s="1"/>
  <c r="K178" i="5" s="1"/>
  <c r="K179" i="5" s="1"/>
  <c r="K180" i="5" s="1"/>
  <c r="K181" i="5" s="1"/>
  <c r="K182" i="5" s="1"/>
  <c r="K183" i="5" s="1"/>
  <c r="K184" i="5" s="1"/>
  <c r="K185" i="5" s="1"/>
  <c r="K186" i="5" s="1"/>
  <c r="K187" i="5" s="1"/>
  <c r="K188" i="5" s="1"/>
  <c r="K189" i="5" s="1"/>
  <c r="K190" i="5" s="1"/>
  <c r="K191" i="5" s="1"/>
  <c r="K192" i="5" s="1"/>
  <c r="K193" i="5" s="1"/>
  <c r="K194" i="5" s="1"/>
  <c r="K195" i="5" s="1"/>
  <c r="K196" i="5" s="1"/>
  <c r="K197" i="5" s="1"/>
  <c r="K198" i="5" s="1"/>
  <c r="K199" i="5" s="1"/>
  <c r="K200" i="5" s="1"/>
  <c r="K201" i="5" s="1"/>
  <c r="K202" i="5" s="1"/>
  <c r="K203" i="5" s="1"/>
  <c r="K204" i="5" s="1"/>
  <c r="K205" i="5" s="1"/>
  <c r="K206" i="5" s="1"/>
  <c r="K207" i="5" s="1"/>
  <c r="K208" i="5" s="1"/>
  <c r="K209" i="5" s="1"/>
  <c r="K210" i="5" s="1"/>
  <c r="K211" i="5" s="1"/>
  <c r="K212" i="5" s="1"/>
  <c r="K213" i="5" s="1"/>
  <c r="K214" i="5" s="1"/>
  <c r="K215" i="5" s="1"/>
  <c r="K216" i="5" s="1"/>
  <c r="K217" i="5" s="1"/>
  <c r="K218" i="5" s="1"/>
  <c r="K219" i="5" s="1"/>
  <c r="K220" i="5" s="1"/>
  <c r="K221" i="5" s="1"/>
  <c r="K222" i="5" s="1"/>
  <c r="K223" i="5" s="1"/>
  <c r="H5" i="5"/>
  <c r="R2" i="5"/>
  <c r="AB22" i="5" l="1"/>
  <c r="AC2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E8" authorId="0" shapeId="0" xr:uid="{2C0AAC42-949E-4ECB-8F6C-D8AF2915703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UPDATE5/9/67</t>
        </r>
      </text>
    </comment>
    <comment ref="B54" authorId="0" shapeId="0" xr:uid="{9845AF9F-43CC-4567-A2E7-D64D26A1E07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Update27/2/68</t>
        </r>
      </text>
    </comment>
    <comment ref="B65" authorId="0" shapeId="0" xr:uid="{9294EE89-88DA-4D0B-98E6-741CEAB77FF3}">
      <text>
        <r>
          <rPr>
            <b/>
            <sz val="9"/>
            <color indexed="81"/>
            <rFont val="Tahoma"/>
            <family val="2"/>
          </rPr>
          <t>UPDATE</t>
        </r>
      </text>
    </comment>
    <comment ref="B66" authorId="0" shapeId="0" xr:uid="{15968617-5066-4486-A0C2-F08662DD612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UPDATE 9/7/2568
</t>
        </r>
      </text>
    </comment>
    <comment ref="B107" authorId="0" shapeId="0" xr:uid="{43B37978-876A-424A-91E2-05D024967B8B}">
      <text>
        <r>
          <rPr>
            <b/>
            <sz val="9"/>
            <color indexed="81"/>
            <rFont val="Tahoma"/>
            <family val="2"/>
          </rPr>
          <t>UPDATE:</t>
        </r>
        <r>
          <rPr>
            <sz val="9"/>
            <color indexed="81"/>
            <rFont val="Tahoma"/>
            <family val="2"/>
          </rPr>
          <t xml:space="preserve">
10/7/2569</t>
        </r>
      </text>
    </comment>
    <comment ref="B119" authorId="0" shapeId="0" xr:uid="{5D9BB2FB-DE79-4472-9B4B-2DCAA09CF162}">
      <text>
        <r>
          <rPr>
            <b/>
            <sz val="9"/>
            <color indexed="81"/>
            <rFont val="Tahoma"/>
            <family val="2"/>
          </rPr>
          <t>UPDATE:</t>
        </r>
        <r>
          <rPr>
            <sz val="9"/>
            <color indexed="81"/>
            <rFont val="Tahoma"/>
            <family val="2"/>
          </rPr>
          <t xml:space="preserve">
15/7/67</t>
        </r>
      </text>
    </comment>
    <comment ref="B157" authorId="0" shapeId="0" xr:uid="{BEDCD4CC-728F-4634-B8BD-7AF34C553A5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23/6/69</t>
        </r>
      </text>
    </comment>
    <comment ref="H200" authorId="0" shapeId="0" xr:uid="{D4AB3C2F-70B7-46A2-886F-6B85F40CE834}">
      <text>
        <r>
          <rPr>
            <b/>
            <sz val="9"/>
            <color indexed="81"/>
            <rFont val="Tahoma"/>
            <family val="2"/>
          </rPr>
          <t>Update 24/3/2568</t>
        </r>
      </text>
    </comment>
    <comment ref="B201" authorId="0" shapeId="0" xr:uid="{A19D3B7B-A9E6-494F-8B75-E18AE5AB395F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อัพเดท 27/2/69</t>
        </r>
      </text>
    </comment>
    <comment ref="B207" authorId="0" shapeId="0" xr:uid="{4A0E341E-EAA0-4131-B39A-3B1A96CCECD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26/8/68</t>
        </r>
      </text>
    </comment>
    <comment ref="B225" authorId="0" shapeId="0" xr:uid="{33FFEDDD-0822-46C0-B9AB-CBDC32F2FBC2}">
      <text>
        <r>
          <rPr>
            <b/>
            <sz val="9"/>
            <color indexed="81"/>
            <rFont val="Tahoma"/>
            <family val="2"/>
          </rPr>
          <t>Update :</t>
        </r>
        <r>
          <rPr>
            <sz val="9"/>
            <color indexed="81"/>
            <rFont val="Tahoma"/>
            <family val="2"/>
          </rPr>
          <t xml:space="preserve">
21/4/2568</t>
        </r>
      </text>
    </comment>
    <comment ref="B244" authorId="0" shapeId="0" xr:uid="{16633D45-C421-4137-9A63-6A69101C4908}">
      <text>
        <r>
          <rPr>
            <b/>
            <sz val="9"/>
            <color indexed="81"/>
            <rFont val="Tahoma"/>
            <family val="2"/>
          </rPr>
          <t>UPDATE:</t>
        </r>
        <r>
          <rPr>
            <sz val="9"/>
            <color indexed="81"/>
            <rFont val="Tahoma"/>
            <family val="2"/>
          </rPr>
          <t xml:space="preserve">
7/1/2569</t>
        </r>
      </text>
    </comment>
    <comment ref="B247" authorId="0" shapeId="0" xr:uid="{5E84ECA9-7562-4C66-BF13-5B60D1951B9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อัพเดท 2/4/2569</t>
        </r>
      </text>
    </comment>
    <comment ref="B263" authorId="0" shapeId="0" xr:uid="{24941D5A-B1AA-4A80-BAD8-4CE22A2DD1E6}">
      <text>
        <r>
          <rPr>
            <b/>
            <sz val="9"/>
            <color indexed="81"/>
            <rFont val="Tahoma"/>
            <family val="2"/>
          </rPr>
          <t>UPDATE:</t>
        </r>
        <r>
          <rPr>
            <sz val="9"/>
            <color indexed="81"/>
            <rFont val="Tahoma"/>
            <family val="2"/>
          </rPr>
          <t xml:space="preserve">
4/8/2568</t>
        </r>
      </text>
    </comment>
    <comment ref="B306" authorId="0" shapeId="0" xr:uid="{8A76BC23-F02A-4856-83FC-E12C8F990B3F}">
      <text>
        <r>
          <rPr>
            <b/>
            <sz val="9"/>
            <color indexed="81"/>
            <rFont val="Tahoma"/>
            <family val="2"/>
          </rPr>
          <t>update: 4/11/2568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07" authorId="0" shapeId="0" xr:uid="{7F3F8C0D-F89D-4316-B7E9-8A60448BFB37}">
      <text>
        <r>
          <rPr>
            <b/>
            <sz val="9"/>
            <color indexed="81"/>
            <rFont val="Tahoma"/>
            <family val="2"/>
          </rPr>
          <t>UPDATE : 29/7/2568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50" authorId="0" shapeId="0" xr:uid="{F4B3F410-C0BA-4E6A-9F29-05A4DE343038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Update 11/4/2568</t>
        </r>
      </text>
    </comment>
    <comment ref="B400" authorId="0" shapeId="0" xr:uid="{4E3727E8-F570-4EA5-9BB9-D66886A269B8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อัพเดท 27/2/69</t>
        </r>
      </text>
    </comment>
    <comment ref="B502" authorId="0" shapeId="0" xr:uid="{F33A1371-DEE7-49DE-A149-D372E19B6B75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Update 16/5/68</t>
        </r>
      </text>
    </comment>
    <comment ref="B558" authorId="0" shapeId="0" xr:uid="{5D05FBB5-5522-454C-B43E-23578DCA4F75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17/4/69</t>
        </r>
      </text>
    </comment>
    <comment ref="B561" authorId="0" shapeId="0" xr:uid="{43B8B061-54D3-40ED-B29E-E5F4FEE52C5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อัพเดท 8/6/69</t>
        </r>
      </text>
    </comment>
    <comment ref="B600" authorId="0" shapeId="0" xr:uid="{C2F687EB-364F-48D8-9A30-8CB64D44E25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อัพเดท 25/2/69</t>
        </r>
      </text>
    </comment>
    <comment ref="B603" authorId="0" shapeId="0" xr:uid="{F813AEC8-F1B1-4DFC-ACF9-1750A7AA922F}">
      <text>
        <r>
          <rPr>
            <b/>
            <sz val="9"/>
            <color indexed="81"/>
            <rFont val="Tahoma"/>
            <family val="2"/>
          </rPr>
          <t>UPDATE:</t>
        </r>
        <r>
          <rPr>
            <sz val="9"/>
            <color indexed="81"/>
            <rFont val="Tahoma"/>
            <family val="2"/>
          </rPr>
          <t xml:space="preserve">
5/9/68</t>
        </r>
      </text>
    </comment>
    <comment ref="B615" authorId="0" shapeId="0" xr:uid="{E6BADC4F-CAC1-4B83-84C9-5506A656AC03}">
      <text>
        <r>
          <rPr>
            <b/>
            <sz val="9"/>
            <color indexed="81"/>
            <rFont val="Tahoma"/>
            <family val="2"/>
          </rPr>
          <t>UPDATE:</t>
        </r>
        <r>
          <rPr>
            <sz val="9"/>
            <color indexed="81"/>
            <rFont val="Tahoma"/>
            <family val="2"/>
          </rPr>
          <t xml:space="preserve">
3/9/68</t>
        </r>
      </text>
    </comment>
    <comment ref="C616" authorId="0" shapeId="0" xr:uid="{64662723-EF6B-4B61-9E2E-A757EFE9347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บัตรปชช ชื่อ น.ส.จินตนา ศรีร่มเย็น</t>
        </r>
      </text>
    </comment>
    <comment ref="B617" authorId="0" shapeId="0" xr:uid="{BE9EAAE3-D7E3-4B9B-9335-9954BE50079C}">
      <text>
        <r>
          <rPr>
            <b/>
            <sz val="9"/>
            <color indexed="81"/>
            <rFont val="Tahoma"/>
            <family val="2"/>
          </rPr>
          <t>ADMIN:อัพเดท 10/11/68</t>
        </r>
      </text>
    </comment>
    <comment ref="B619" authorId="0" shapeId="0" xr:uid="{572D0B7C-1D3A-4679-92DB-E745D74525A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UPDATE 18/3/2569</t>
        </r>
      </text>
    </comment>
    <comment ref="B630" authorId="0" shapeId="0" xr:uid="{B655EAD1-538E-45B1-A2A4-6E59AFE6C58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11/5/69</t>
        </r>
      </text>
    </comment>
    <comment ref="B632" authorId="0" shapeId="0" xr:uid="{FEB878FE-643F-41A2-A24D-2610474AA7D5}">
      <text>
        <r>
          <rPr>
            <b/>
            <sz val="9"/>
            <color indexed="81"/>
            <rFont val="Tahoma"/>
            <family val="2"/>
          </rPr>
          <t>UPDATE:</t>
        </r>
        <r>
          <rPr>
            <sz val="9"/>
            <color indexed="81"/>
            <rFont val="Tahoma"/>
            <family val="2"/>
          </rPr>
          <t xml:space="preserve">
6/7/2569</t>
        </r>
      </text>
    </comment>
    <comment ref="B691" authorId="0" shapeId="0" xr:uid="{0C8F7048-2AA0-4940-ABC3-4CB2B45DF168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อัพเดท 8/5/69</t>
        </r>
      </text>
    </comment>
  </commentList>
</comments>
</file>

<file path=xl/sharedStrings.xml><?xml version="1.0" encoding="utf-8"?>
<sst xmlns="http://schemas.openxmlformats.org/spreadsheetml/2006/main" count="5771" uniqueCount="2749">
  <si>
    <t>ลำดับ</t>
  </si>
  <si>
    <t>ชื่อร้าน</t>
  </si>
  <si>
    <t>จ่ายให้</t>
  </si>
  <si>
    <t>BANK</t>
  </si>
  <si>
    <t>เลขที่บัญชี</t>
  </si>
  <si>
    <t>ประเภท</t>
  </si>
  <si>
    <t>รายละเอียด</t>
  </si>
  <si>
    <t>LINE</t>
  </si>
  <si>
    <t>AIA</t>
  </si>
  <si>
    <t>บจ.เอไอเอ</t>
  </si>
  <si>
    <t>QR CODE</t>
  </si>
  <si>
    <t>BBL 1644-3</t>
  </si>
  <si>
    <t>นายธนู  ทักษิณาวงศ์</t>
  </si>
  <si>
    <t>BBL</t>
  </si>
  <si>
    <t>527-3-01644-3</t>
  </si>
  <si>
    <t>BBL 1765-6</t>
  </si>
  <si>
    <t>นายอดิศักดิ์ รุจิวิวัฒนกุล</t>
  </si>
  <si>
    <t>527-3-01765-6</t>
  </si>
  <si>
    <t>BBL 5889-9</t>
  </si>
  <si>
    <t>527-0-25889-9</t>
  </si>
  <si>
    <t>CHO CHO WIN</t>
  </si>
  <si>
    <t>Kbank</t>
  </si>
  <si>
    <t>085-8-66544-2</t>
  </si>
  <si>
    <t>UST</t>
  </si>
  <si>
    <t>พี่เล็ก</t>
  </si>
  <si>
    <t>GHP หนุ่มกระจกอลูมิเนียม</t>
  </si>
  <si>
    <t>นายยิ่งยศ  แก้ววงค์ทอง</t>
  </si>
  <si>
    <t>527-3-01122-0</t>
  </si>
  <si>
    <t>ร้านค้า</t>
  </si>
  <si>
    <t>หนุ่มกระจก</t>
  </si>
  <si>
    <t xml:space="preserve">GHP หนุ่มกระจกอลูมิเนียม </t>
  </si>
  <si>
    <t>นายยิ่งยศ   แก้ววงค์ทอง</t>
  </si>
  <si>
    <t>032-3-56364-0</t>
  </si>
  <si>
    <t>K.K. Ranong Trading LTD.,PART.</t>
  </si>
  <si>
    <t>232-2-18817-2</t>
  </si>
  <si>
    <t>จี้ตะซิน</t>
  </si>
  <si>
    <t>KS.เทรดดิ้ง</t>
  </si>
  <si>
    <t>นายเกรียงศักดิ์  แซ่โง้ว</t>
  </si>
  <si>
    <t>128-0-74064-6</t>
  </si>
  <si>
    <t>ท่าเรือ</t>
  </si>
  <si>
    <t>LYA (พี่เสง)</t>
  </si>
  <si>
    <t>นายปิยวุฒิ  ลิ่มศิลา</t>
  </si>
  <si>
    <t>TTB</t>
  </si>
  <si>
    <t>429-2-25632-0</t>
  </si>
  <si>
    <t>พี่เสง</t>
  </si>
  <si>
    <t>MISS GLORIA HUANG</t>
  </si>
  <si>
    <t>SCB</t>
  </si>
  <si>
    <t>218-2-84081-5</t>
  </si>
  <si>
    <t>MISS HSU MYAT HTOO</t>
  </si>
  <si>
    <t>BAY</t>
  </si>
  <si>
    <t>769-1-26336-4</t>
  </si>
  <si>
    <t>MR. ARKER SOE THEIN</t>
  </si>
  <si>
    <t>037-4-14587-8</t>
  </si>
  <si>
    <t>ค่าเทอมลูกชาย</t>
  </si>
  <si>
    <t>MR. HTAY WIN</t>
  </si>
  <si>
    <t>291-0-91259-7</t>
  </si>
  <si>
    <t>โรงแรมแกรนด์อันดามัน</t>
  </si>
  <si>
    <t>โกจุ่ง</t>
  </si>
  <si>
    <t>MR. KAUNG KYAW MOE</t>
  </si>
  <si>
    <t>165-3-16118-9</t>
  </si>
  <si>
    <t>MR. KYAW THUYA</t>
  </si>
  <si>
    <t>527-0-24979-9</t>
  </si>
  <si>
    <t>GP-ค่าของ</t>
  </si>
  <si>
    <t>MR. NAING LYNN</t>
  </si>
  <si>
    <t>101-9-38598-6</t>
  </si>
  <si>
    <t>ค่าปลาฝากขาย</t>
  </si>
  <si>
    <t>MR. ZAY YAR OO</t>
  </si>
  <si>
    <t>106-1-55122-7</t>
  </si>
  <si>
    <t>Yส่วนตัว</t>
  </si>
  <si>
    <t>MR.HEIN THWE ZONE</t>
  </si>
  <si>
    <t>HEIN THWE ZONE</t>
  </si>
  <si>
    <t>855-0-83084-1</t>
  </si>
  <si>
    <t>กลุ่มน้ำมัน</t>
  </si>
  <si>
    <t>ค่าเจ้าท่าของพม่านำเข้าน้ำมัน</t>
  </si>
  <si>
    <t>จี้ตะซิน/พี่เล็ก</t>
  </si>
  <si>
    <t>MR.SOE THEIN</t>
  </si>
  <si>
    <t>939-0-28685-5</t>
  </si>
  <si>
    <t>MR.SUNTAYA SETAVORAPHAN</t>
  </si>
  <si>
    <t>180-4-97992-8</t>
  </si>
  <si>
    <t>MR.THAUNG TUN</t>
  </si>
  <si>
    <t>140-8-79416-8</t>
  </si>
  <si>
    <t>MR.THU KHA AND MRS.AYE AYE MU</t>
  </si>
  <si>
    <t>056-0-47678-0</t>
  </si>
  <si>
    <t>โกพกส่วนตัว</t>
  </si>
  <si>
    <t>MR.THUYA AUNG NO SERNAME</t>
  </si>
  <si>
    <t>550-2-04642-1</t>
  </si>
  <si>
    <t>ค่า% เรืออวนดำ</t>
  </si>
  <si>
    <t>MR.TIN SOE</t>
  </si>
  <si>
    <t>038-3-60121-5</t>
  </si>
  <si>
    <t>ค่า Agent ASIAN DAWN CO.,LTD</t>
  </si>
  <si>
    <t>MR.ZAW MYO TUN</t>
  </si>
  <si>
    <t>031-7-11072-4</t>
  </si>
  <si>
    <t>KSส่วนตัว</t>
  </si>
  <si>
    <t>MRS.AYE AYE MU</t>
  </si>
  <si>
    <t>101-9-36080-7</t>
  </si>
  <si>
    <t>SM-ขายปลา</t>
  </si>
  <si>
    <t>MRS.KHIN HTWE KYI</t>
  </si>
  <si>
    <t>056-0-47780-4</t>
  </si>
  <si>
    <t>โกหัวส่วนตัว</t>
  </si>
  <si>
    <t>น้าเบิ้ล</t>
  </si>
  <si>
    <t>MRS.MA AYE NWAY NWAY CHAW</t>
  </si>
  <si>
    <t>056-0-43520-8</t>
  </si>
  <si>
    <t>โกฮุ้ยส่วนตัว</t>
  </si>
  <si>
    <t>MS.MYAT NOE THU</t>
  </si>
  <si>
    <t>Ko Soe Wee/โกซาฮุ่ยส่วนตัว</t>
  </si>
  <si>
    <t>MS.NAN MI MI KHAING</t>
  </si>
  <si>
    <t>004-8-95102-3</t>
  </si>
  <si>
    <t>ค่าใช้จ่ายเจ้าหน้าที่เฉลี่ย</t>
  </si>
  <si>
    <t>MS.YIN YIN HTIKE</t>
  </si>
  <si>
    <t>031-7-11073-2</t>
  </si>
  <si>
    <t>MS.ZIN THU HAN</t>
  </si>
  <si>
    <t>P-Pay</t>
  </si>
  <si>
    <t>093-XXX-8262</t>
  </si>
  <si>
    <t>Exp MYEIK</t>
  </si>
  <si>
    <t>NT Com</t>
  </si>
  <si>
    <t>นายนครชัย  ทองอนันต์</t>
  </si>
  <si>
    <t>OFF</t>
  </si>
  <si>
    <t>อุปกรณ์คอมฯ (ผ่านช่างประพล)</t>
  </si>
  <si>
    <t>PJ</t>
  </si>
  <si>
    <t>นายวิโรจน์  จันทปัญญา</t>
  </si>
  <si>
    <t>016-8-35381-2</t>
  </si>
  <si>
    <t>PJ - ranong</t>
  </si>
  <si>
    <t>PPไฮดรอลิค</t>
  </si>
  <si>
    <t>นายอัศวกรณ์  มิลินจารุภารัตน์</t>
  </si>
  <si>
    <t>098-1-73347-9</t>
  </si>
  <si>
    <t xml:space="preserve"> ต้อม T.L.ไฮดรอลิค</t>
  </si>
  <si>
    <t>Pronpimon  Oangsuwan</t>
  </si>
  <si>
    <t>138-8-42844-5</t>
  </si>
  <si>
    <t>FM</t>
  </si>
  <si>
    <t>เงินเดือน   ELDA</t>
  </si>
  <si>
    <t>RAM</t>
  </si>
  <si>
    <t>น.ส.เมธ์วดี  รุจิวิวัฒนกุล</t>
  </si>
  <si>
    <t>KTB</t>
  </si>
  <si>
    <t>806-0-43357-1</t>
  </si>
  <si>
    <t>โกต้งส่วนตัว</t>
  </si>
  <si>
    <t>จี้เมธ์</t>
  </si>
  <si>
    <t>RAM(ตะแกรงไวท์เมช)</t>
  </si>
  <si>
    <t>น.ส.ธนาภรณ์  รุจิวิวัฒนกุล</t>
  </si>
  <si>
    <t>928-2-03501-4</t>
  </si>
  <si>
    <t>รั้วตะแกรงไวท์เมช</t>
  </si>
  <si>
    <t>Ranong Hot Spring Run</t>
  </si>
  <si>
    <t>806-0-70823-6</t>
  </si>
  <si>
    <t>KPS-ท่าเรือ</t>
  </si>
  <si>
    <t>บริจาคเงินงานวิ่ง</t>
  </si>
  <si>
    <t>อะแด้</t>
  </si>
  <si>
    <t>Ranong Hot Spring  Run</t>
  </si>
  <si>
    <t>Ranong Hot Spring Run โดย</t>
  </si>
  <si>
    <t>806-0-79112-5</t>
  </si>
  <si>
    <t>RFD / SYM</t>
  </si>
  <si>
    <t>บจ.ระนอง ฟิวเจอร์ ดีเวลลอปเม้นท์</t>
  </si>
  <si>
    <t>527-0-22737-3</t>
  </si>
  <si>
    <t>โกวอม</t>
  </si>
  <si>
    <t>RILON</t>
  </si>
  <si>
    <t>คุณปณภัทร  นุชเกษม</t>
  </si>
  <si>
    <t>493-0-21217-0</t>
  </si>
  <si>
    <t>SCG Inernational Corporation Co.,Ltd</t>
  </si>
  <si>
    <t>020-1-00066-1</t>
  </si>
  <si>
    <t>Shopeepay</t>
  </si>
  <si>
    <t>QRCode</t>
  </si>
  <si>
    <t>THAI KOBELCO WELDING</t>
  </si>
  <si>
    <t>THAI KOBELCO WELDING CO.,LTD.</t>
  </si>
  <si>
    <t>MIZUHO</t>
  </si>
  <si>
    <t>10-764-000303</t>
  </si>
  <si>
    <t>THAI-KOBELCO WELDING</t>
  </si>
  <si>
    <t>THAI-KOBELCO WELDING CO.,LTD.</t>
  </si>
  <si>
    <t>155-4-89786-6</t>
  </si>
  <si>
    <t>Thongchai Sae Sae</t>
  </si>
  <si>
    <t>140-2-18444-8</t>
  </si>
  <si>
    <t>เงินโอนจี้แดง</t>
  </si>
  <si>
    <t>TLไฮดรอลิค</t>
  </si>
  <si>
    <t>เปลี่ยนชื่อจาก TLเป็นPP(UPDATE 20/11/66)</t>
  </si>
  <si>
    <t>TOT</t>
  </si>
  <si>
    <t>บมจ.โทรคมนาคมแห่งชาติ</t>
  </si>
  <si>
    <t>TRUE ONLINE</t>
  </si>
  <si>
    <t>จ่ายภายในวันที่ 25 ของทุกเดือน</t>
  </si>
  <si>
    <t>W.S.เซอร์วิส</t>
  </si>
  <si>
    <t>W.S.เซอร์วิส โดย น.ส.วาสนา รอดบุญเกิด</t>
  </si>
  <si>
    <t>460-2-03111-5</t>
  </si>
  <si>
    <t>WS Kung</t>
  </si>
  <si>
    <t xml:space="preserve">W.S.เซอร์วิส </t>
  </si>
  <si>
    <t>806-0-09277-4</t>
  </si>
  <si>
    <t>Update27/2/68</t>
  </si>
  <si>
    <t>Wannee  Kunaviriyasiri</t>
  </si>
  <si>
    <t>156-1-05507-7</t>
  </si>
  <si>
    <t>YNTZ-CPAC</t>
  </si>
  <si>
    <t>น.ส.สุภาพร ลิ่มศิลา</t>
  </si>
  <si>
    <t>232-2-42469-0</t>
  </si>
  <si>
    <t>เงินเดือนเส็ง</t>
  </si>
  <si>
    <t>ก.แสงทอง</t>
  </si>
  <si>
    <t>นายธนพงษ์ วรศิริสุวิมล</t>
  </si>
  <si>
    <t>333-2-58935-4</t>
  </si>
  <si>
    <t>ค่าบรรทุกปลาป่น</t>
  </si>
  <si>
    <t>โกต่อ</t>
  </si>
  <si>
    <t xml:space="preserve">ก.แสงทอง </t>
  </si>
  <si>
    <t xml:space="preserve">นายธนพงษ์ วรศิริสุวิมล </t>
  </si>
  <si>
    <t>037-8-45529-4</t>
  </si>
  <si>
    <t>กรมสรรพากร</t>
  </si>
  <si>
    <t>กฤษฎาค้าเหล็ก</t>
  </si>
  <si>
    <t>คุณอรุณพงศ์  ก้องวัชรพงศ์</t>
  </si>
  <si>
    <t>460-2-09528-8</t>
  </si>
  <si>
    <t>การไฟฟ้าส่วนภูมิภาคจ.ระนอง</t>
  </si>
  <si>
    <t>806-1-06520-7</t>
  </si>
  <si>
    <t>กิจทวีผล</t>
  </si>
  <si>
    <t>นางอังคณา  ธีรรัตนางกูร</t>
  </si>
  <si>
    <t>116-3-56620-2</t>
  </si>
  <si>
    <t>กิจไพศาลคอนสตรัคชั่นฯ TTB</t>
  </si>
  <si>
    <t xml:space="preserve">บจ.กิจไพศาลคอนสตรัคชั่นแมททีเรียล </t>
  </si>
  <si>
    <t>429-2-41109-9</t>
  </si>
  <si>
    <t>ค่าคอนกรีต</t>
  </si>
  <si>
    <t>โกวอม&amp;บัญชี</t>
  </si>
  <si>
    <t>กิจไพศาลวัสดุ</t>
  </si>
  <si>
    <t>527-0-23289-4</t>
  </si>
  <si>
    <t>ค่าของที่ร้าน(บุคคล)</t>
  </si>
  <si>
    <t xml:space="preserve">กิจไพศาลวัสดุ </t>
  </si>
  <si>
    <t xml:space="preserve">นายพัชระ รุจิวิวัฒนกุล </t>
  </si>
  <si>
    <t>429-2-35062-8</t>
  </si>
  <si>
    <t xml:space="preserve">กิจไพศาลวัสดุ  </t>
  </si>
  <si>
    <t>นายพัชระ รุจิวิวัฒนกุล และ นางปริยากร รุจิวิวัฒนกุล</t>
  </si>
  <si>
    <t>208-3-67523-6</t>
  </si>
  <si>
    <t>กิจไพศาลวัสดุ(ด่านชั่ง)</t>
  </si>
  <si>
    <t>ด.ญ.นรินทร์พร รุจิวิวัฒนกุล</t>
  </si>
  <si>
    <t>361-0-26780-1</t>
  </si>
  <si>
    <t xml:space="preserve">ค่าด่านชั่งปลาป่น#  /  </t>
  </si>
  <si>
    <t>กิตตินันท์ค้าของเก่า</t>
  </si>
  <si>
    <t>นายนู เทียนอำไพ</t>
  </si>
  <si>
    <t>460-2-07971-1</t>
  </si>
  <si>
    <t>ลูกกลิ้งไฟเบอร์หุ้มแสตนเลส</t>
  </si>
  <si>
    <t>น้าเปี๊ยก</t>
  </si>
  <si>
    <t>กิ๊ฟ</t>
  </si>
  <si>
    <t>783-0-04515-4</t>
  </si>
  <si>
    <t xml:space="preserve">กิ๊ฟ </t>
  </si>
  <si>
    <t>น.ส.ธนาภรณ์ รุจิวิวัฒนกุล</t>
  </si>
  <si>
    <t>021-7-43342-4</t>
  </si>
  <si>
    <t>กิ๊ฟ(ตู๋)</t>
  </si>
  <si>
    <t>น.ส.คนึงนิจ แสงสาคร</t>
  </si>
  <si>
    <t>691-2-03871-6</t>
  </si>
  <si>
    <t>บัญชีส่วนตัว</t>
  </si>
  <si>
    <t>ตู๋</t>
  </si>
  <si>
    <t>นายวรากร  จุลเสนีย์ชร</t>
  </si>
  <si>
    <t>527-0-07575-6</t>
  </si>
  <si>
    <t>Staff</t>
  </si>
  <si>
    <r>
      <t xml:space="preserve">โกจุ่ง </t>
    </r>
    <r>
      <rPr>
        <sz val="11"/>
        <color theme="1"/>
        <rFont val="Tahoma"/>
        <family val="2"/>
        <scheme val="minor"/>
      </rPr>
      <t>(SM)</t>
    </r>
  </si>
  <si>
    <t xml:space="preserve">นายวรากร  จุลเสนีย์ชร </t>
  </si>
  <si>
    <t>527-0-27008-4</t>
  </si>
  <si>
    <t>เงินโอนSM</t>
  </si>
  <si>
    <r>
      <t xml:space="preserve">โกจุ่ง </t>
    </r>
    <r>
      <rPr>
        <sz val="11"/>
        <color theme="1"/>
        <rFont val="Tahoma"/>
        <family val="2"/>
        <scheme val="minor"/>
      </rPr>
      <t>(โอนต่างประเทศ)</t>
    </r>
  </si>
  <si>
    <t>527-0-25450-0</t>
  </si>
  <si>
    <t>โอนINVโกซาหม่าว</t>
  </si>
  <si>
    <t>โกเจี้ยว</t>
  </si>
  <si>
    <t>นายนรเศรษฐ ลิ่มศิลา</t>
  </si>
  <si>
    <t>460-2-02970-6</t>
  </si>
  <si>
    <t>กรรมการ</t>
  </si>
  <si>
    <t>เงินเดือนโกเจี้ยวและครอบครัว .)</t>
  </si>
  <si>
    <t>โกช้วน</t>
  </si>
  <si>
    <t>นายสัมพันธ์ ลิ่มศิลา</t>
  </si>
  <si>
    <t>039-8-06351-1</t>
  </si>
  <si>
    <t>โกช่อง(BBL)</t>
  </si>
  <si>
    <t>นายธนู   ทักษิณาวงศ์</t>
  </si>
  <si>
    <t>527-0-02422-6</t>
  </si>
  <si>
    <t>โกช่อง</t>
  </si>
  <si>
    <t>โกช่อง(KBank)</t>
  </si>
  <si>
    <t>460-2-00433-9</t>
  </si>
  <si>
    <t>โกช่อง(SCB)</t>
  </si>
  <si>
    <t>นายธนู  ทักษิณาวงศ์ (บัญชีซื้อ$)</t>
  </si>
  <si>
    <t>581-2-36413-7</t>
  </si>
  <si>
    <t>โอนเงินซื้อUSD</t>
  </si>
  <si>
    <t>โกชุ้น</t>
  </si>
  <si>
    <t>นายพิเชษฐ รุจิวิวัฒนกุล</t>
  </si>
  <si>
    <t>460-2-01397-4</t>
  </si>
  <si>
    <t>ค่าปลา(แพจี้หง่อ)</t>
  </si>
  <si>
    <t>โกชุ้น (ขนส่ง)</t>
  </si>
  <si>
    <t>นายมนตรี  อิสริยะวาณิช</t>
  </si>
  <si>
    <t>232-2-21346-0</t>
  </si>
  <si>
    <t>081-892-2679</t>
  </si>
  <si>
    <t>โกดังสมบัติ</t>
  </si>
  <si>
    <t>คุณธีราภรณ์  พรชัยเจริญ</t>
  </si>
  <si>
    <t>232-2-31021-0</t>
  </si>
  <si>
    <t>กับข้าวลูกน้อง</t>
  </si>
  <si>
    <t>ค่าของแห้ง</t>
  </si>
  <si>
    <t>พี่ก้อง</t>
  </si>
  <si>
    <t>โกแดง</t>
  </si>
  <si>
    <t>นายธีรวัฒน์  สมแก้ว</t>
  </si>
  <si>
    <t>361-0-08851-6</t>
  </si>
  <si>
    <t xml:space="preserve">โกแดง </t>
  </si>
  <si>
    <t xml:space="preserve">นายธีรวัฒน์  สมแก้ว </t>
  </si>
  <si>
    <t>460-2-03450-5</t>
  </si>
  <si>
    <t>โกต้ง</t>
  </si>
  <si>
    <t>นายอดิศักดิ์  รุจิวิวัฒนกุล</t>
  </si>
  <si>
    <t>460-2-01535-7</t>
  </si>
  <si>
    <t xml:space="preserve">โกต้ง </t>
  </si>
  <si>
    <t>นายอดิศักดิ์   รุจิวิวัฒนกุล</t>
  </si>
  <si>
    <t>460-1-00333-9</t>
  </si>
  <si>
    <t>โกต้ง (บัญชีส่วนตัว)</t>
  </si>
  <si>
    <t xml:space="preserve">นายอดิศักดิ์   รุจิวิวัฒนกุล </t>
  </si>
  <si>
    <t>220-1-11296-9</t>
  </si>
  <si>
    <t>โกต้ง เพื่อ ธนาภรณ์</t>
  </si>
  <si>
    <t>นายอดิศักดิ์ รุจิวิวัฒนกุลเพื่อด.ญ.ธนาภรณ์</t>
  </si>
  <si>
    <t>460-2-02025-3</t>
  </si>
  <si>
    <t>โกนัย(ขนส่ง)</t>
  </si>
  <si>
    <t>น.ส.ธานิยา  สอนเสริม</t>
  </si>
  <si>
    <t>533-2-26880-3</t>
  </si>
  <si>
    <t>โกนิว</t>
  </si>
  <si>
    <t>นายกิตติพัฒน์  ทองสนิท</t>
  </si>
  <si>
    <t>527-0-10105-7</t>
  </si>
  <si>
    <t>โกปั้ง</t>
  </si>
  <si>
    <t>คุณอักษร วัฒนกิจ</t>
  </si>
  <si>
    <t>259-2-17485-8</t>
  </si>
  <si>
    <t>โกพันธ์</t>
  </si>
  <si>
    <t>นายสุรพันธุ์  อีงประเสริฐ</t>
  </si>
  <si>
    <t>527-0-01853-3</t>
  </si>
  <si>
    <t>ค่าก๊าซ</t>
  </si>
  <si>
    <t>โกพันธุ์</t>
  </si>
  <si>
    <t>โกฟุ้ก(ค่าน้ำมัน-เกาะสอง)BBL</t>
  </si>
  <si>
    <t>นายสง่า  กังวาล</t>
  </si>
  <si>
    <t>291-3-05123-7</t>
  </si>
  <si>
    <t>โกฟุ้ก(ค่าน้ำมัน-เกาะสอง)KBank</t>
  </si>
  <si>
    <t>นายกานต์  กังวาล</t>
  </si>
  <si>
    <t>460-1-01011-4</t>
  </si>
  <si>
    <t>โกโรจน์ (ถัง)</t>
  </si>
  <si>
    <t>นายไพโรจน์  แก้วไพฑูรย์</t>
  </si>
  <si>
    <t>232-1-03997-1</t>
  </si>
  <si>
    <t>ถังปลา</t>
  </si>
  <si>
    <t>โกเล็กค้าข้าว</t>
  </si>
  <si>
    <t>นายไพโรจน์  หนูสมตน</t>
  </si>
  <si>
    <t>232-2-19808-9</t>
  </si>
  <si>
    <t>ข้าวมะลิกุหลาบ45กก.(65กระสอบx1,100.-)</t>
  </si>
  <si>
    <t>081-535-2087</t>
  </si>
  <si>
    <t>โกวอม (บัญชีส่วนตัว)</t>
  </si>
  <si>
    <t>นายพัชระ  รุจิวิวัฒนกุล</t>
  </si>
  <si>
    <t>361-0-15857-3</t>
  </si>
  <si>
    <t>โกวอม(บัญชีส่วนตัว)</t>
  </si>
  <si>
    <t>นายพัชระ รุจิวิวัฒนกุล</t>
  </si>
  <si>
    <t>527-0-18984-7</t>
  </si>
  <si>
    <t>ค่าใช้จ่าย, ภาษีคืน</t>
  </si>
  <si>
    <t xml:space="preserve">โกวอม(บัญชีส่วนตัว) </t>
  </si>
  <si>
    <t xml:space="preserve">นายพัชระ  รุจิวิวัฒนกุล </t>
  </si>
  <si>
    <t>460-2-70508-2</t>
  </si>
  <si>
    <t>โกหม้ก (ขนส่ง)</t>
  </si>
  <si>
    <t>นายมนตรี  ชลิศราพงศ์</t>
  </si>
  <si>
    <t>806-1-33394-5</t>
  </si>
  <si>
    <t>โกหม้ก</t>
  </si>
  <si>
    <t>โกหย่ง</t>
  </si>
  <si>
    <t>นายยงศิลป์ อ๋องสุวรรณ</t>
  </si>
  <si>
    <t>527-0-18045-7</t>
  </si>
  <si>
    <t>โกอั้น</t>
  </si>
  <si>
    <t>นายสมบัติ ตันกุลธร</t>
  </si>
  <si>
    <t>460-2-01608-6</t>
  </si>
  <si>
    <t xml:space="preserve">โกอั้น </t>
  </si>
  <si>
    <t>นายสมบัติ  ตันกุลธร</t>
  </si>
  <si>
    <t>460-2-01403-2</t>
  </si>
  <si>
    <t>Ko Aun</t>
  </si>
  <si>
    <t>โกเอ (ขนส่ง)</t>
  </si>
  <si>
    <t>คณะทันตแพทยศาสตร์ มหาวิทยาลัยรังสิต</t>
  </si>
  <si>
    <t>020-0-66666-7</t>
  </si>
  <si>
    <t>คลินิคมือถือ</t>
  </si>
  <si>
    <t>นางดาราวรรณ สังข์สิงห์และ/หรือ นายอลงกรณ์ สังข์สิงห์</t>
  </si>
  <si>
    <t>581-2-29335-2</t>
  </si>
  <si>
    <t>ดาวเทียม เติมเงิน และอุปกรณ์อื่นๆ  .)</t>
  </si>
  <si>
    <t>จี้เกี้ย</t>
  </si>
  <si>
    <t xml:space="preserve">คลินิคมือถือ </t>
  </si>
  <si>
    <t>นายสมศักดิ์ สังข์สิงห์</t>
  </si>
  <si>
    <t>581-2-13077-8</t>
  </si>
  <si>
    <t>คอนโดปทุมวันรีสอร์ท</t>
  </si>
  <si>
    <t>ค่าส่วนกลางคอนโด ปี2569</t>
  </si>
  <si>
    <t>นิติคอนโดปทุมวันรีสอร์ท</t>
  </si>
  <si>
    <t>คุณกชกร  รัตนพันธ์</t>
  </si>
  <si>
    <t>806-1-28074-4</t>
  </si>
  <si>
    <t>คุณกมลพร  ปักษา</t>
  </si>
  <si>
    <t>440-2-92904-0</t>
  </si>
  <si>
    <t>เสื้อฝน</t>
  </si>
  <si>
    <t>พี่อี๊ด</t>
  </si>
  <si>
    <t xml:space="preserve">คุณกมลพร  ปักษา </t>
  </si>
  <si>
    <t>GSB</t>
  </si>
  <si>
    <t>020-0888-4987-0</t>
  </si>
  <si>
    <t>คุณกรชาญสิทธิ์  สุขแจ่ม</t>
  </si>
  <si>
    <t>429-2-36533-7</t>
  </si>
  <si>
    <t>ช่างแสตนเลส</t>
  </si>
  <si>
    <t>คุณกรรณพร  จันทโชติกุล</t>
  </si>
  <si>
    <t>291-0-81099-9</t>
  </si>
  <si>
    <t xml:space="preserve">TT / </t>
  </si>
  <si>
    <t>คุณกำธร  ศรีบุณยะแก้ว</t>
  </si>
  <si>
    <t>115-2-22870-4</t>
  </si>
  <si>
    <t>คุณกิตติพงษ์และคุณชลกานต์</t>
  </si>
  <si>
    <t>460-2-05482-4</t>
  </si>
  <si>
    <t>คุณเกรียงไกร  เหลืองอ่อน</t>
  </si>
  <si>
    <t>012-8-79028-4</t>
  </si>
  <si>
    <t>คุณขนิษฐา เสนาพิทักษ์</t>
  </si>
  <si>
    <t>806-0-62084-3</t>
  </si>
  <si>
    <t>คุณจิน  เกษมดำรงค์กุล</t>
  </si>
  <si>
    <t>001-0-05563-0</t>
  </si>
  <si>
    <t>KWB</t>
  </si>
  <si>
    <t>คุณจีระศิริ  ศรีเมือง</t>
  </si>
  <si>
    <t>361-0-42101-0</t>
  </si>
  <si>
    <t>UTK-เรือรวม</t>
  </si>
  <si>
    <t>เงินเดือนช่างรวม (16-30/12/64)</t>
  </si>
  <si>
    <t>คุณชนันธร  ดีเลิศ</t>
  </si>
  <si>
    <t>020-0-8395733-0</t>
  </si>
  <si>
    <t>สภาอุตกาหกรรมจ.ระนอง</t>
  </si>
  <si>
    <t>คุณชลกานต์   กุลฐิติกิจ</t>
  </si>
  <si>
    <t>429-2-05907-0</t>
  </si>
  <si>
    <t>ปันผลเรือ B-7, B-8</t>
  </si>
  <si>
    <t>คุณชลกานต์  กุลฐิติกิจ</t>
  </si>
  <si>
    <t>215-2-41558-0</t>
  </si>
  <si>
    <t>คุณเชาว์  สงวนศักดิ์</t>
  </si>
  <si>
    <t>210-6-01616-6</t>
  </si>
  <si>
    <t>คุณฐภรภัทร  ตัน</t>
  </si>
  <si>
    <t>581-2-22604-6</t>
  </si>
  <si>
    <t>ลูกหนี้แม่ค้าปลา</t>
  </si>
  <si>
    <t>หนุ่ยB2</t>
  </si>
  <si>
    <t>โกต้งการเงิน</t>
  </si>
  <si>
    <t>คุณเดชาพัชร จตุรพร</t>
  </si>
  <si>
    <t>024-3-36851-0</t>
  </si>
  <si>
    <t>หลอดไฟ</t>
  </si>
  <si>
    <t>คุณธนกฤต  ธีรรัตนางกูร</t>
  </si>
  <si>
    <t>460-2-09378-1</t>
  </si>
  <si>
    <t>คุณธนัญญา ล้อมวัฒนธรรม</t>
  </si>
  <si>
    <t>120-1-96429-2</t>
  </si>
  <si>
    <t>Yสวนยางมะลิวัลย์</t>
  </si>
  <si>
    <t>คุณธนุชภรณ์ นพรัตน์</t>
  </si>
  <si>
    <t>171-2-75981-0</t>
  </si>
  <si>
    <t>คุณนนทรจน์ จันทร์สิงห์</t>
  </si>
  <si>
    <t>460-2-04973-1</t>
  </si>
  <si>
    <t>สำรองเจ้าหน้าที่</t>
  </si>
  <si>
    <t>เงินเดือนผู้การ และ ค่าอาหารผู้การ 7.) (เริ่ม1/7/68)</t>
  </si>
  <si>
    <t>คุณน้องรัก  อินทสันต์</t>
  </si>
  <si>
    <t>232-2-41703-1</t>
  </si>
  <si>
    <t>คุณนิธิ  ทักษิณาวงศ์</t>
  </si>
  <si>
    <t>190-0-56824-5</t>
  </si>
  <si>
    <t>CH-Exp</t>
  </si>
  <si>
    <t>คุณนิธิสา บุญเพ็ง</t>
  </si>
  <si>
    <t>075-8-06999-0</t>
  </si>
  <si>
    <t>ling King Star</t>
  </si>
  <si>
    <t>คุณนุช สร้อยปาน</t>
  </si>
  <si>
    <t>717-2-00368-5</t>
  </si>
  <si>
    <t>คุณนุ้ย</t>
  </si>
  <si>
    <t>คุณนุ้ย  แจ้งประจักษ์</t>
  </si>
  <si>
    <t>302-0-73087-9</t>
  </si>
  <si>
    <t>คุณบุญชอบ ภาสดา</t>
  </si>
  <si>
    <t>899-2-46020-9</t>
  </si>
  <si>
    <t>คุณเบญจมาศ และ คุณสมชาย ศรีวิทิตกุล</t>
  </si>
  <si>
    <t>046-2-83384-5</t>
  </si>
  <si>
    <t>คุณปริษา  สุขกล่ำรัตนา</t>
  </si>
  <si>
    <t>985-2-51386-9</t>
  </si>
  <si>
    <t>ตู้จ่ายเงินสดTiger Cashbox</t>
  </si>
  <si>
    <t>คุณปรียาฉัตร</t>
  </si>
  <si>
    <t>นางปรียาฉัตร แซ่อุ๋ย</t>
  </si>
  <si>
    <t>581-2-36909-8</t>
  </si>
  <si>
    <t>ร้าน Society</t>
  </si>
  <si>
    <t>คุณปัญญาพล พงษ์สุน</t>
  </si>
  <si>
    <t>460-2-03689-3</t>
  </si>
  <si>
    <t>คุณพรชัย  บูรณเบญญา</t>
  </si>
  <si>
    <t>170-0-20689-7</t>
  </si>
  <si>
    <t>คุณพัฒนี  สื่อเจริญ</t>
  </si>
  <si>
    <t>398-2-12279-2</t>
  </si>
  <si>
    <t>วัจลินทร์</t>
  </si>
  <si>
    <t>คุณพิมพ์ลภัส  แซ่เซียว</t>
  </si>
  <si>
    <t>361-0-41711-0</t>
  </si>
  <si>
    <t>เจ้าหน้าที่ด่านกักกันสัตว์น้ำ</t>
  </si>
  <si>
    <t>คุณพิศิษฐ  วัลลภศิรินันท์</t>
  </si>
  <si>
    <t>731-2-73890-7</t>
  </si>
  <si>
    <t>คุณเพิ่มสุวรรณ แย้มพงษ์</t>
  </si>
  <si>
    <t>068-8-36394-2</t>
  </si>
  <si>
    <t>ค่ากะเพาะปลา</t>
  </si>
  <si>
    <t>คุณภสุ  ธนิตนนท์</t>
  </si>
  <si>
    <t>นายภสุ  ธนิตนนท์</t>
  </si>
  <si>
    <t>842-2-00842-0</t>
  </si>
  <si>
    <t>คุณภาวิณี ลีละบรรยงค์</t>
  </si>
  <si>
    <t>นางภาวิณี ลีละบรรยงค์</t>
  </si>
  <si>
    <t>กรุงศรี</t>
  </si>
  <si>
    <t>528-1-41711-2</t>
  </si>
  <si>
    <t>คุณยงยุทธ  จงสุวัฒน์</t>
  </si>
  <si>
    <t>946-2-04055-2</t>
  </si>
  <si>
    <t>Tiger Cashbox</t>
  </si>
  <si>
    <t>คุณยงยุทธ  ทองนรินทร์</t>
  </si>
  <si>
    <t>301-5-20394-0</t>
  </si>
  <si>
    <t>คุณยงยุทธ ทองนรินทร์</t>
  </si>
  <si>
    <t>015-3-29267-1</t>
  </si>
  <si>
    <t>คุณเล็ก(แฟนโกช่อง)</t>
  </si>
  <si>
    <t>น.ส.เพชรนภา  วิไลเจริญตระกูล</t>
  </si>
  <si>
    <t>581-2-13145-3</t>
  </si>
  <si>
    <t>คุณเล็ก(ค่าน้ำแข็ง)</t>
  </si>
  <si>
    <t xml:space="preserve">น.ส.เพชรนภา  วิไลเจริญตระกูล </t>
  </si>
  <si>
    <t>425-2-30766-8</t>
  </si>
  <si>
    <t>คุณวันชัย สาระเวก</t>
  </si>
  <si>
    <t>นายวันชัย สาระเวก</t>
  </si>
  <si>
    <t>180-2-38853-1</t>
  </si>
  <si>
    <t>คุณวิเชียร  บุตรศรี</t>
  </si>
  <si>
    <t>นายวิเชียร  บุตรศรี</t>
  </si>
  <si>
    <t>527-0-13638-4</t>
  </si>
  <si>
    <t>คุณวุฒิ พิบูลรุจนานนท์</t>
  </si>
  <si>
    <t>460-2-02757-6</t>
  </si>
  <si>
    <t>ขายปลา-PSP</t>
  </si>
  <si>
    <t>ค่าบรรทุกปลา</t>
  </si>
  <si>
    <t>คุณวุฒิพันธ์  ศรีตะเถระ</t>
  </si>
  <si>
    <t>779-2-01445-8</t>
  </si>
  <si>
    <t>คุณศรีไพร  ทองขาวขำ</t>
  </si>
  <si>
    <t>110-1-69492-0</t>
  </si>
  <si>
    <t>คุณศศิพร ไทรชมภู</t>
  </si>
  <si>
    <t>276-4-75862-5</t>
  </si>
  <si>
    <t>ค่าหัวแย็ก</t>
  </si>
  <si>
    <t>คุณศศิพร  ไทรชมภู</t>
  </si>
  <si>
    <t>940-2-46427-8</t>
  </si>
  <si>
    <t>ค่าซ่อมรถHINO</t>
  </si>
  <si>
    <t>คุณศศิวัณย์  ชูชัยวิวัฒน์</t>
  </si>
  <si>
    <t>832-1-33284-6</t>
  </si>
  <si>
    <t>คุณศิรินภา   เพียรบางยาง</t>
  </si>
  <si>
    <t>158-3-91314-5</t>
  </si>
  <si>
    <t>กระดาษแข็ง</t>
  </si>
  <si>
    <t>099-949-1540</t>
  </si>
  <si>
    <t>คุณศิรินภา  เพียรบางยาง</t>
  </si>
  <si>
    <t>140-2-03797-9</t>
  </si>
  <si>
    <t>099-949-1539</t>
  </si>
  <si>
    <t>คุณสมรักษ์  ประสิทธิพร</t>
  </si>
  <si>
    <t>302-4-11611-7</t>
  </si>
  <si>
    <t>คุณสุดา  จันทร์แสนโรจน์</t>
  </si>
  <si>
    <t>124-1-27947-7</t>
  </si>
  <si>
    <t>คุณสุทธิวรรณ ศิริ (วีซ่า)</t>
  </si>
  <si>
    <t>คุณสุทธิวรรณ ศิริ</t>
  </si>
  <si>
    <t>118-4-18125-1</t>
  </si>
  <si>
    <t>วีซ่า</t>
  </si>
  <si>
    <t>คุณสุรศักดิ์</t>
  </si>
  <si>
    <t>คุณสุรศักดิ์ สรรพกุล</t>
  </si>
  <si>
    <t>361-0-27373-9</t>
  </si>
  <si>
    <t>งานสวดกลางบ้านต.ปากน้ำ</t>
  </si>
  <si>
    <t>คุณอัศม์พงษ์  พนาวิชัยกุล</t>
  </si>
  <si>
    <t>002-8-90964-0</t>
  </si>
  <si>
    <t>คุณอำพรรณรัตน์  อยู่มอญ</t>
  </si>
  <si>
    <t>731-2-29936-9</t>
  </si>
  <si>
    <t>คุณอุไรวรรณ  พิบูลย์</t>
  </si>
  <si>
    <t>268-2-16078-3</t>
  </si>
  <si>
    <t>คุณเอกชัย ศรีประดิษฐ์</t>
  </si>
  <si>
    <t>443-1-24622-6</t>
  </si>
  <si>
    <t>เงินบริจาคกฐิน กสร.</t>
  </si>
  <si>
    <t>383-1-04488-0</t>
  </si>
  <si>
    <t>พี่ MANU(สวัสดิการแรงงาน)</t>
  </si>
  <si>
    <t>เงินบำรุงศูนย์วิทยาศาสตร์การแพทย์ที่11 สุราษฎ์ธานี</t>
  </si>
  <si>
    <t>981-8-94859-9</t>
  </si>
  <si>
    <t>ค่าตรวจวิเคราะห์น้ำ/น้ำแข็ง</t>
  </si>
  <si>
    <t>พี่ปลา</t>
  </si>
  <si>
    <t>เงินฝากเทศบาลต.ปากน้ำท่าเรือ</t>
  </si>
  <si>
    <t>806-1-27100-1</t>
  </si>
  <si>
    <t>ภาษีที่ดินและสิ่งปลูกสร้างเทศบาลปากน้ำท่าเรือ</t>
  </si>
  <si>
    <t>พี่เดือน(จนท.เทศบาล)</t>
  </si>
  <si>
    <t>จี้แนน(BBL)</t>
  </si>
  <si>
    <t>น.ส.สุวีดา วิริยานนท์</t>
  </si>
  <si>
    <t>527-0-19055-5</t>
  </si>
  <si>
    <t>น.ส.เมธ์วดี    รุจิวิวัฒนกุล</t>
  </si>
  <si>
    <t>787-2-11980-3</t>
  </si>
  <si>
    <t>เงินโอน</t>
  </si>
  <si>
    <t>จี้เมธ์ Kbank</t>
  </si>
  <si>
    <t xml:space="preserve">น.ส.เมธ์วดี    รุจิวิวัฒนกุล  </t>
  </si>
  <si>
    <t>163-1-51906-3</t>
  </si>
  <si>
    <t xml:space="preserve">จี้เมธ์ </t>
  </si>
  <si>
    <t>ให้จี้เกี่ยใช้</t>
  </si>
  <si>
    <t xml:space="preserve">จี้เมธ์  </t>
  </si>
  <si>
    <t xml:space="preserve">น.ส.เมธ์วดี   รุจิวิวัฒนกุล </t>
  </si>
  <si>
    <t>527-0-16256-2</t>
  </si>
  <si>
    <t xml:space="preserve">จี้เมธ์   </t>
  </si>
  <si>
    <t xml:space="preserve">น.ส.เมธ์วดี   รุจิวิวัฒนกุล  </t>
  </si>
  <si>
    <t>429-2-46474-2</t>
  </si>
  <si>
    <t>เงินโอน/ให้จี้เกี่ยใช้</t>
  </si>
  <si>
    <t>จี้เมธ์   .</t>
  </si>
  <si>
    <t xml:space="preserve"> น.ส. เมธ์วดี   รุจิวิวัฒนกุล</t>
  </si>
  <si>
    <t>429-2-41105-7</t>
  </si>
  <si>
    <t>ค่าห้องพักไม่ออกVAT</t>
  </si>
  <si>
    <t>จี้เมธ์ .</t>
  </si>
  <si>
    <t>น.ส.เมธ์วดี   รุจิวิวัฒนกุล</t>
  </si>
  <si>
    <t>527-0-26230-5</t>
  </si>
  <si>
    <t>จี้เมธ์.</t>
  </si>
  <si>
    <t>น.ส. เมธ์วดี   รุจิวิวัฒนกุล</t>
  </si>
  <si>
    <t>527-0-25845-1</t>
  </si>
  <si>
    <t>จี้เมธ์ GSB</t>
  </si>
  <si>
    <t xml:space="preserve">น.ส.เมธ์วดี   รุจิวิวัฒนกุล   </t>
  </si>
  <si>
    <t>020-3-9768506-4</t>
  </si>
  <si>
    <t>ค่าจัดเลี้ยงครัวพฤกษา</t>
  </si>
  <si>
    <t>จี้หม่วย</t>
  </si>
  <si>
    <t>นางจิดาภา รุจิวิวัฒนกุล</t>
  </si>
  <si>
    <t>429-2-38033-6</t>
  </si>
  <si>
    <t>จี้หม่วย(ค่าผ่านแพ)</t>
  </si>
  <si>
    <t xml:space="preserve">นางจิดาภา  รุจิวิวัฒนกุล </t>
  </si>
  <si>
    <t>232-2-30082-7</t>
  </si>
  <si>
    <t>เงินเดือน</t>
  </si>
  <si>
    <t>ให้โกเหน่งใช้</t>
  </si>
  <si>
    <t>จี้หม่อย</t>
  </si>
  <si>
    <t>นางนภาพร  ตีรวัฒน์</t>
  </si>
  <si>
    <t>783-0-01693-2</t>
  </si>
  <si>
    <t>จี้หยิน</t>
  </si>
  <si>
    <t>นางสุวรรณา ลิ่มศิลา</t>
  </si>
  <si>
    <t>758-2-25286-0</t>
  </si>
  <si>
    <t xml:space="preserve">จี้หยิน </t>
  </si>
  <si>
    <t>นางสุวรรณา  ลิ่มศิลา</t>
  </si>
  <si>
    <t>211-0-84371-7</t>
  </si>
  <si>
    <t xml:space="preserve">จี้หยิน  </t>
  </si>
  <si>
    <t xml:space="preserve">นางสุวรรณา ลิ่มศิลา </t>
  </si>
  <si>
    <t>460-2-01547-0</t>
  </si>
  <si>
    <t>คืนเงินกองทุนอวนลาก (เรือY2K 3ลำ)</t>
  </si>
  <si>
    <t>จุ๋มจิ๋มพลาซ่า</t>
  </si>
  <si>
    <t>น.ส.นิตย์ชนก อำพันธ์สุข</t>
  </si>
  <si>
    <t>581-2-25366-1</t>
  </si>
  <si>
    <t>เจ้ส่วน</t>
  </si>
  <si>
    <t>นายมนูญ  ต้นน้ำนิ่ง</t>
  </si>
  <si>
    <t>ธกส</t>
  </si>
  <si>
    <t>016-1-9239591-6</t>
  </si>
  <si>
    <t>ชมรมแพปลาจ.ระนอง</t>
  </si>
  <si>
    <t>527-0-24187-9</t>
  </si>
  <si>
    <t>ชัยวัฒน์การช่าง</t>
  </si>
  <si>
    <t>นายวิสุข แซ่ตัน</t>
  </si>
  <si>
    <t>460-2-00354-5</t>
  </si>
  <si>
    <t>ค่าแรง .)</t>
  </si>
  <si>
    <t>โทรแจ้ง081-893-1378</t>
  </si>
  <si>
    <t>ชัยสิงห์ชิปปิ้ง</t>
  </si>
  <si>
    <t>นายชัยสิงห์  ทองเกื้อ</t>
  </si>
  <si>
    <t>232-2-11464-0</t>
  </si>
  <si>
    <t>ช่าง ประพล</t>
  </si>
  <si>
    <t>นายประพล  บุญอินทร์</t>
  </si>
  <si>
    <t>424-0-46846-0</t>
  </si>
  <si>
    <t>-</t>
  </si>
  <si>
    <t>ช่างเก่ง</t>
  </si>
  <si>
    <t>นายเจริญชัย  ศิริพาสาร</t>
  </si>
  <si>
    <t>052-1-81493-4</t>
  </si>
  <si>
    <t>ค่าแรงทาสี .)</t>
  </si>
  <si>
    <t xml:space="preserve">ช่างเก่ง </t>
  </si>
  <si>
    <t>นางศิริรัตน์  ศิริพาสาร</t>
  </si>
  <si>
    <t>131-3-69757-2</t>
  </si>
  <si>
    <t>ช่างไก่</t>
  </si>
  <si>
    <t>นายปิยะวัฒน์  แก้วทรัพย์</t>
  </si>
  <si>
    <t>038-7-27476-4</t>
  </si>
  <si>
    <t>ช่างซ่อมเครน</t>
  </si>
  <si>
    <t>นายชายแดน เห็มสังหาร</t>
  </si>
  <si>
    <t>340-0-37192-8</t>
  </si>
  <si>
    <t>ช่างเดช</t>
  </si>
  <si>
    <t>นายปิยเดช รชดินโอภาส</t>
  </si>
  <si>
    <t>011-8-37507-6</t>
  </si>
  <si>
    <t xml:space="preserve">ช่างเดช </t>
  </si>
  <si>
    <t xml:space="preserve">นายปิยเดช รชดินโอภาส </t>
  </si>
  <si>
    <t>008-8-18597-8</t>
  </si>
  <si>
    <t xml:space="preserve">ช่างเดช  </t>
  </si>
  <si>
    <t xml:space="preserve">นายปิยเดช  รชดินโอภาส </t>
  </si>
  <si>
    <t>213-8-58533-9</t>
  </si>
  <si>
    <t>ช่างบี้</t>
  </si>
  <si>
    <t>มาลินี อาลัยกลาง</t>
  </si>
  <si>
    <t>033-8-50658-9</t>
  </si>
  <si>
    <t>ชุดไฟ ตู้ไฟ</t>
  </si>
  <si>
    <t>แฟนช่างบี้</t>
  </si>
  <si>
    <t>ช่างประพล</t>
  </si>
  <si>
    <t>นายประพล บุญอินทร์</t>
  </si>
  <si>
    <t>291-0-67501-2</t>
  </si>
  <si>
    <t xml:space="preserve">ช่างประพล </t>
  </si>
  <si>
    <t xml:space="preserve">นายประพล บุญอินทร์ </t>
  </si>
  <si>
    <t>806-0-65004-1</t>
  </si>
  <si>
    <t>ช่างพร</t>
  </si>
  <si>
    <t>นายอนันต์ชัย  รอดตัวดี</t>
  </si>
  <si>
    <t>211-0-62990-0</t>
  </si>
  <si>
    <t xml:space="preserve">ช่างพร </t>
  </si>
  <si>
    <t>นายอนันต์ชัย   รอดตัวดี</t>
  </si>
  <si>
    <t>020-0-6749049-8</t>
  </si>
  <si>
    <t xml:space="preserve">ช่างพร   </t>
  </si>
  <si>
    <t xml:space="preserve">นายอนันต์ชัย  รอดตัวดี </t>
  </si>
  <si>
    <t>268-4-58302-0</t>
  </si>
  <si>
    <t>ช่างพร.</t>
  </si>
  <si>
    <t>นางอัจฉรา  จารุประกร</t>
  </si>
  <si>
    <t>008-2-44603-8</t>
  </si>
  <si>
    <t>ช่างพิศาล</t>
  </si>
  <si>
    <t>นายพิศาล  กลั่นสุรินทร์</t>
  </si>
  <si>
    <t>791-2-00185-1</t>
  </si>
  <si>
    <t>ช่างเพชร</t>
  </si>
  <si>
    <t>นายเดชา  เนาวพฤกษ์</t>
  </si>
  <si>
    <t>429-2-21734-8</t>
  </si>
  <si>
    <t>ค่าปลา</t>
  </si>
  <si>
    <t>ช่างแมว</t>
  </si>
  <si>
    <t>นายธนโชติ  โพธิ์กลอย</t>
  </si>
  <si>
    <t>581-2-34825-4</t>
  </si>
  <si>
    <t>ช่างมะริด</t>
  </si>
  <si>
    <t>ช่างยุทธ (YTอิเลคทรอนิคส์)</t>
  </si>
  <si>
    <t>นายยงยุทธ  ทองนรินทร์</t>
  </si>
  <si>
    <t>280-0-61546-6</t>
  </si>
  <si>
    <t>ค่าซ่อมโซนาร์</t>
  </si>
  <si>
    <t>ช่างเยื้อน</t>
  </si>
  <si>
    <t>นายเยื้อน  ช่วยมั่นคง</t>
  </si>
  <si>
    <t>527-0-08356-0</t>
  </si>
  <si>
    <t>PT(1)</t>
  </si>
  <si>
    <t>ค่าแรงซ่อมเรือ</t>
  </si>
  <si>
    <t>ช่างรวม</t>
  </si>
  <si>
    <t>นายอดิศร  ศรีเมือง</t>
  </si>
  <si>
    <t>460-2-06579-6</t>
  </si>
  <si>
    <t>ช่างรัตน์</t>
  </si>
  <si>
    <t>นายสุวิทย์  ประสิทธิ์เจริญ</t>
  </si>
  <si>
    <t>020-4-3417968-3</t>
  </si>
  <si>
    <t>ช่างวี</t>
  </si>
  <si>
    <t>นายทวี  ชัยฉิม</t>
  </si>
  <si>
    <t>006-1-58375-0</t>
  </si>
  <si>
    <t>ช่างศักดิ์</t>
  </si>
  <si>
    <t>นายวัชรพงษ์  วงศ์จันทร์มณี</t>
  </si>
  <si>
    <t>429-2-12310-8</t>
  </si>
  <si>
    <t>ช่างสมคิด</t>
  </si>
  <si>
    <t>นายสมคิด  เรืองทิพย์</t>
  </si>
  <si>
    <t>440-2-21532-8</t>
  </si>
  <si>
    <t>ช่างสิงค์</t>
  </si>
  <si>
    <t>จาริศา สูงยิ่ง</t>
  </si>
  <si>
    <t>291-0-83344-7</t>
  </si>
  <si>
    <t>ช่างสุวิทย์</t>
  </si>
  <si>
    <t>นางสุนี  มิ่งสมร</t>
  </si>
  <si>
    <t>704-2-51946-5</t>
  </si>
  <si>
    <t xml:space="preserve">ช่างสุวิทย์ </t>
  </si>
  <si>
    <t>นายสุวิทย์  มิ่งสมร</t>
  </si>
  <si>
    <t>437-0-88815-8</t>
  </si>
  <si>
    <t>ช่างเสริฐ</t>
  </si>
  <si>
    <t>นายประเสริฐ และ บุญเรือง ไทรชมภู</t>
  </si>
  <si>
    <t>611-3-01496-0</t>
  </si>
  <si>
    <t>ช่างเสริฐ-โรงเลื่อย</t>
  </si>
  <si>
    <t>นายสมศักดิ์ จันทร์รุ่งรัศมี</t>
  </si>
  <si>
    <t>806-1-59229-0</t>
  </si>
  <si>
    <t>ช่างหมู</t>
  </si>
  <si>
    <t>นายธรรมนูญ  ชูสุข</t>
  </si>
  <si>
    <t>460-2-04283-4</t>
  </si>
  <si>
    <t xml:space="preserve">ช่างหมู </t>
  </si>
  <si>
    <t xml:space="preserve">นายธรรมนูญ  ชูสุข </t>
  </si>
  <si>
    <t>802-0-48306-3</t>
  </si>
  <si>
    <t>ชาญสยามขนส่ง</t>
  </si>
  <si>
    <t>นายคุณัช  ตัณฑะจินนะ</t>
  </si>
  <si>
    <t>232-2-26225-9</t>
  </si>
  <si>
    <t>ร้านค้า ค่าบรรทุกปลาป่น</t>
  </si>
  <si>
    <t>พี่ผึ้ง</t>
  </si>
  <si>
    <t>ชาวระนองเพื่อการกุศล โดย นายธวัชชัย</t>
  </si>
  <si>
    <t>ชูศักดิ์การพิมพ์</t>
  </si>
  <si>
    <t>น.ส.นฤวรรณ  จันทร์บูรณะศิริ</t>
  </si>
  <si>
    <t>020-3-02652-738</t>
  </si>
  <si>
    <t>สมุดชั่งนน.ปลา</t>
  </si>
  <si>
    <t>ป้าทับทิม</t>
  </si>
  <si>
    <t xml:space="preserve">ชูศักดิ์การพิมพ์ </t>
  </si>
  <si>
    <t>นางทับทิม จันทร์บูรณะศิริ</t>
  </si>
  <si>
    <t>806-0-63436-4</t>
  </si>
  <si>
    <t>ณัฐชยาอะไหล่</t>
  </si>
  <si>
    <t>คุณภูวดล  พุทธสำราญ</t>
  </si>
  <si>
    <t>777-9-23999-7</t>
  </si>
  <si>
    <t>ด.ต.วิสิษฐ  สร้อยเสม</t>
  </si>
  <si>
    <t>806-1-61917-2</t>
  </si>
  <si>
    <t>ตำรวจสืบสวน</t>
  </si>
  <si>
    <t>เดิน-วิ่ง ท้าฝน เมืองฝน8</t>
  </si>
  <si>
    <t>806-0-75766-0</t>
  </si>
  <si>
    <t>ต้นน้ำจืด</t>
  </si>
  <si>
    <t>นายสำราญ  เทพทอง</t>
  </si>
  <si>
    <t>806-1-09217-4</t>
  </si>
  <si>
    <t>ค่าน้ำจืด  .) (  คันx140)</t>
  </si>
  <si>
    <t>โทร  087-896-9918</t>
  </si>
  <si>
    <t>ตะวันการค้า</t>
  </si>
  <si>
    <t>นายสุรศักดิ์  แซ่ตัน</t>
  </si>
  <si>
    <t>581-2-08833-3</t>
  </si>
  <si>
    <t>โกจู๊ด 081-8959076</t>
  </si>
  <si>
    <t>ตั้งข้าวสาร</t>
  </si>
  <si>
    <t>นายศุภสิทธิ  อรรคพิพัฒน์</t>
  </si>
  <si>
    <t>232-2-33224-9</t>
  </si>
  <si>
    <t>สะดวกรับเงินที่แพ</t>
  </si>
  <si>
    <t>ตันเก้ง (ที.เค. วัน)</t>
  </si>
  <si>
    <t>น.ส.รัฐนันท์  ตันติเวทเรืองเดช</t>
  </si>
  <si>
    <t>063-3-82366-9</t>
  </si>
  <si>
    <t>ตันเก้ง</t>
  </si>
  <si>
    <t>ตันเก้ง (ที.เค.วัน)</t>
  </si>
  <si>
    <t>น.ส. รัฐนันท์  ตันติเวทเรืองเดช</t>
  </si>
  <si>
    <t>150-8-20100-8</t>
  </si>
  <si>
    <t>ตู๋ (ค่าที่ดิน)</t>
  </si>
  <si>
    <t xml:space="preserve">นายพัฒนพงษ์  รุจิวิวัฒนกุล </t>
  </si>
  <si>
    <t>020-1-6603913-3</t>
  </si>
  <si>
    <t>ค่าที่ดินอะแด้</t>
  </si>
  <si>
    <t>ตู๋ (ค่าบ้าน)</t>
  </si>
  <si>
    <t>นายพัฒนพงษ์ รุจิวิวัฒนกุล</t>
  </si>
  <si>
    <t>527-0-21275-5</t>
  </si>
  <si>
    <t>ค่าบ้าน</t>
  </si>
  <si>
    <t>ตู๋ (เงินโอน)</t>
  </si>
  <si>
    <t xml:space="preserve">นายพัฒนพงษ์ รุจิวิวัฒนกุล </t>
  </si>
  <si>
    <t>527-0-20615-3</t>
  </si>
  <si>
    <t>ตู๋ (บัญชีท่าเรือ)</t>
  </si>
  <si>
    <t xml:space="preserve">นายพัฒนพงษ์ รุจิวิวัฒนกุล   </t>
  </si>
  <si>
    <t>024-3-28569-0</t>
  </si>
  <si>
    <t>เบิกค่าใชจ่ายท่าเรือ</t>
  </si>
  <si>
    <t>ถิรภาพกระจก</t>
  </si>
  <si>
    <t>คุณนันทา  นวมเผือก</t>
  </si>
  <si>
    <t>460-2-10703-0</t>
  </si>
  <si>
    <t>โทร 084-992-4942</t>
  </si>
  <si>
    <t xml:space="preserve">ถิรภาพกระจก </t>
  </si>
  <si>
    <t>นายถิรภาพ  วิรุฬห์รักษ์สกุล</t>
  </si>
  <si>
    <t>429-2-09698-1</t>
  </si>
  <si>
    <t>น้าฟรุ</t>
  </si>
  <si>
    <t xml:space="preserve">ถิรภาพกระจก   </t>
  </si>
  <si>
    <t>คุณเบญญาณัช  วิรุฬห์รักษ์สกุล</t>
  </si>
  <si>
    <t>024-8-84562-7</t>
  </si>
  <si>
    <t>ทวีศักดิ์การไฟฟ้า</t>
  </si>
  <si>
    <t>นายอาทิตย์ จตุพรพิทักษ์</t>
  </si>
  <si>
    <t>232-2-42122-5</t>
  </si>
  <si>
    <t>ทิพย์ (ท่าเรือฯ)</t>
  </si>
  <si>
    <t>ณิชาภา  เคนโพธิ์</t>
  </si>
  <si>
    <t>087-887-9922</t>
  </si>
  <si>
    <t>พี่ทิพย์</t>
  </si>
  <si>
    <t>ทิพย์ (ท่าเรือฯ)2</t>
  </si>
  <si>
    <t>น.ส.ณิชาภา  เคนโพธิ์</t>
  </si>
  <si>
    <t>061-091-9922</t>
  </si>
  <si>
    <t>ทิพย์(ท่าเรือฯ)</t>
  </si>
  <si>
    <t>น.ส. ณิชาภา  เคนโพธิ์</t>
  </si>
  <si>
    <t>527-0-14379-4</t>
  </si>
  <si>
    <t>เทศบาลตำบลปากน้ำท่าเรือ</t>
  </si>
  <si>
    <t>ค่าภาษีที่ดินและสิ่งปลูกสร้าง</t>
  </si>
  <si>
    <t>เทศบาลเมืองบางริ้น</t>
  </si>
  <si>
    <t>ไทยประกันชีวิต</t>
  </si>
  <si>
    <t>ไทยอุดมไบโอเอ็นเนอร์ยี่</t>
  </si>
  <si>
    <t>บจ.ไทยอุดมไบโอเอ็นเนอร์ยี่</t>
  </si>
  <si>
    <t>437-0-35524-4</t>
  </si>
  <si>
    <t>ไทยไบโอ</t>
  </si>
  <si>
    <t>ธเนตรแอร์</t>
  </si>
  <si>
    <t>นายธเนตร แก้วคำ</t>
  </si>
  <si>
    <t>361-0-12422-9</t>
  </si>
  <si>
    <t>ค่าซ่อม  .)</t>
  </si>
  <si>
    <t>ธเนตร</t>
  </si>
  <si>
    <t>น.ส.ชุฤณี  เอี่ยมองค์</t>
  </si>
  <si>
    <t>232-2-26129-5</t>
  </si>
  <si>
    <t>ประกันชีวิต,ภาษี(รถ),พรบ.</t>
  </si>
  <si>
    <t>ลุงเล็ก/คุณอีฟ</t>
  </si>
  <si>
    <t>น.ส.ชุฤณี  เอี่ยมองค์(วิริยะประกันภัย)</t>
  </si>
  <si>
    <t xml:space="preserve">น.ส.ชุฤณี  เอี่ยมองค์ </t>
  </si>
  <si>
    <t>406-7-22859-6</t>
  </si>
  <si>
    <t>ประกันรถ</t>
  </si>
  <si>
    <t>น.ส.ธนาภรณ์  เพราะดีงาม</t>
  </si>
  <si>
    <t>001-1-62081-7</t>
  </si>
  <si>
    <t>น.ส.ธัญญาลักษมี บุญเกิด</t>
  </si>
  <si>
    <t>023-1-28068-5</t>
  </si>
  <si>
    <t>ค่ารางวัดที่ดิน</t>
  </si>
  <si>
    <t>น.ส.ณิชนันนท์ รุจิวิวัฒนกุล</t>
  </si>
  <si>
    <t>029-2-60581-1</t>
  </si>
  <si>
    <t>ค่าขายยาง</t>
  </si>
  <si>
    <t>น.ส.นภฤชา ปิ่นรัตนกุล (ช่างเดช)</t>
  </si>
  <si>
    <t>น.ส.นภฤชา ปิ่นรัตนกุล</t>
  </si>
  <si>
    <t>090-3-09171-1</t>
  </si>
  <si>
    <t>ค่าแรงช่างเดช</t>
  </si>
  <si>
    <t>น.ส.น้อมจิต เตชะชื่น</t>
  </si>
  <si>
    <t>112-3-52015-3</t>
  </si>
  <si>
    <t>ข้อต่อสวมเร็ว และค่าขนส่ง</t>
  </si>
  <si>
    <t>น.ส.นัยน์ภัค คุณาวิริยะสิริ</t>
  </si>
  <si>
    <t>751-2-06870-3</t>
  </si>
  <si>
    <t>น.ส.เนืองนิจ  นิธิวัฒน์</t>
  </si>
  <si>
    <t>581-2-11968-9</t>
  </si>
  <si>
    <t>น.ส.ปรีชยา จุลเสนีย์ชร</t>
  </si>
  <si>
    <t>291-0-77349-4</t>
  </si>
  <si>
    <t>ค่าปลาอวนดำฝากขาย ABC</t>
  </si>
  <si>
    <t>น.ส.ปรีชยา  จุลเสนีย์ชร</t>
  </si>
  <si>
    <t>032-1-69396-2</t>
  </si>
  <si>
    <t>น.ส.ปิยะธิดา บุสยกุล</t>
  </si>
  <si>
    <t>581-2-44337-1</t>
  </si>
  <si>
    <t>จรัญ</t>
  </si>
  <si>
    <t>น.ส.พรพิมล  อ๋องสุวรรณ</t>
  </si>
  <si>
    <t>U Kyaw Kyawส่วนตัว</t>
  </si>
  <si>
    <t>น.ส.พรพิมล อ๋องสุวรรณ</t>
  </si>
  <si>
    <t>581-2-45122-7</t>
  </si>
  <si>
    <t>น.ส.ภิรัญญา ธัญญาภิรัต</t>
  </si>
  <si>
    <t xml:space="preserve">131-3-56602-8 </t>
  </si>
  <si>
    <t>ค่าออกแบบระบบไฟฟ้า</t>
  </si>
  <si>
    <t>น.ส.รังศินี  เสาวเวียง</t>
  </si>
  <si>
    <t>783-0-03375-4</t>
  </si>
  <si>
    <t>บริจาคฟุตบอลทีมแกรนด์อันดามันระนอง</t>
  </si>
  <si>
    <t>น.ส.ละมัย พงศาภิชาติ</t>
  </si>
  <si>
    <t>783-0-00934-1</t>
  </si>
  <si>
    <t>น.ส.วรรณวิภา เวียนสาว</t>
  </si>
  <si>
    <t>527-0-12529-6</t>
  </si>
  <si>
    <t>น.ส.วรรณี  สมศรี</t>
  </si>
  <si>
    <t>085-2-34557-8</t>
  </si>
  <si>
    <t>น.ส.ศุลีพร  คำเครื่อง</t>
  </si>
  <si>
    <t>086-3-95053-8</t>
  </si>
  <si>
    <t>บริจาคกอล์ฟการกุศล</t>
  </si>
  <si>
    <t>น.ส.อรพิมล​ โชค​พระ​สมบัติ​</t>
  </si>
  <si>
    <t xml:space="preserve">979-0-15843-2​  </t>
  </si>
  <si>
    <t>น.ส.อรอนงค์  อ่อนยิ่ง</t>
  </si>
  <si>
    <t>806-0-45620-2</t>
  </si>
  <si>
    <t>รถน้ำ รถ6ล้อท่าเรือ</t>
  </si>
  <si>
    <t>พี่อีฟ</t>
  </si>
  <si>
    <t>นพดลการไฟฟ้า</t>
  </si>
  <si>
    <t>นายนาวิน  มีนวล</t>
  </si>
  <si>
    <t>429-2-24299-9</t>
  </si>
  <si>
    <t>ช่างวิท</t>
  </si>
  <si>
    <t>Cancel บัญชีโดนแฮ็ค</t>
  </si>
  <si>
    <t xml:space="preserve">นพดลการไฟฟ้า </t>
  </si>
  <si>
    <t>นายนาวิน   มีนวล</t>
  </si>
  <si>
    <t>439-0-27274-3</t>
  </si>
  <si>
    <t>Update 7/6/67</t>
  </si>
  <si>
    <t>นวรัตน์การไฟฟ้า</t>
  </si>
  <si>
    <t>นวรัตน์  ปานจินดา</t>
  </si>
  <si>
    <t>468-0-21212-8</t>
  </si>
  <si>
    <t>โทร 077-823540</t>
  </si>
  <si>
    <t>น้องบอส</t>
  </si>
  <si>
    <t>นายภูดิศ  ทักษิณาวงศ์</t>
  </si>
  <si>
    <t>052-1-91137-9</t>
  </si>
  <si>
    <t>น้องบิว(แพ)</t>
  </si>
  <si>
    <t>น.ส.กัญจนพร  สุขแจ่ม</t>
  </si>
  <si>
    <t>407-5-77039-1</t>
  </si>
  <si>
    <t>น้องมล</t>
  </si>
  <si>
    <t>น.ส.นฤมล ลิ่มศิลา</t>
  </si>
  <si>
    <t>758-2-30565-4</t>
  </si>
  <si>
    <t>น้องสุ</t>
  </si>
  <si>
    <t>น้อยไฟฟ้า</t>
  </si>
  <si>
    <t>ภิญโญ พลสินธุ์ (น้อยไฟฟ้า)</t>
  </si>
  <si>
    <t>232-2-29117-8</t>
  </si>
  <si>
    <t>นางสุดใจ  บุญเฉิด</t>
  </si>
  <si>
    <t>241-2-20876-8</t>
  </si>
  <si>
    <t>ค่าเหล็ก</t>
  </si>
  <si>
    <t>นางอรพรรณ บุษยากร</t>
  </si>
  <si>
    <t xml:space="preserve"> SCB </t>
  </si>
  <si>
    <t>417-0-41475-1</t>
  </si>
  <si>
    <t>ชมรมแพปลา จ.ระนอง</t>
  </si>
  <si>
    <t>น้าโบ๋ย</t>
  </si>
  <si>
    <t>นางชนิดาภา  ลิ่มศิลา</t>
  </si>
  <si>
    <t>527-0-14780-3</t>
  </si>
  <si>
    <t>โกเจี้ยวส่วนตัว</t>
  </si>
  <si>
    <t>ให้จี้โบ๋ยใช้</t>
  </si>
  <si>
    <t>นายกฤตนัย จงไกรจักร(ลูกน้องคุณนายเฟี๊ยต)</t>
  </si>
  <si>
    <t>นายกฤตนัย จงไกรจักร</t>
  </si>
  <si>
    <t>388-0-37251-9</t>
  </si>
  <si>
    <t>รับรองนาย</t>
  </si>
  <si>
    <t>นายกฤตภาส  ตั้งตระกูล</t>
  </si>
  <si>
    <t>527-0-25343-7</t>
  </si>
  <si>
    <t>แม่ค้าปลา</t>
  </si>
  <si>
    <t>เจ๊ดี</t>
  </si>
  <si>
    <t>นายกิตติ  เพียรบางยาง</t>
  </si>
  <si>
    <t>161-1-42670-2</t>
  </si>
  <si>
    <t>กระดาษแข็ง 3"x6" 20ลัง / 2.5"x4" 20ลัง (40ลังx300)</t>
  </si>
  <si>
    <t>โทร 099-949-1539</t>
  </si>
  <si>
    <t>นายเกริกกฤต ศรีบุญเรือง</t>
  </si>
  <si>
    <t>161-1-33952-4</t>
  </si>
  <si>
    <t>ค่าบริการซ่อมคอม</t>
  </si>
  <si>
    <t>ช่างต้อม</t>
  </si>
  <si>
    <t>นายจักรกฤษณ์ ฉิ่งสูงเนิน</t>
  </si>
  <si>
    <t>399-4-26202-1</t>
  </si>
  <si>
    <t>นายจักรกฤษณ์ อิทธิฤทธานนท์</t>
  </si>
  <si>
    <t>291-0-89393-8</t>
  </si>
  <si>
    <t>นายเฉลิมวิทย์  แก้วสิมมาพร</t>
  </si>
  <si>
    <t>741-2-06194-7</t>
  </si>
  <si>
    <t>ค่าโปรแกรม</t>
  </si>
  <si>
    <t>นายเชาวลิต จินดาเรือง</t>
  </si>
  <si>
    <t>415-1-37388-9</t>
  </si>
  <si>
    <t>ค่าถมดิน</t>
  </si>
  <si>
    <t>นายเชาวลิต ช่วยนอกสระ</t>
  </si>
  <si>
    <t>016-8-57769-9</t>
  </si>
  <si>
    <t>เบรคเกอร์,ตู้ไฟ</t>
  </si>
  <si>
    <t>นายณรงค์  ภู่แก้วเผือก</t>
  </si>
  <si>
    <t>038-2-77293-8</t>
  </si>
  <si>
    <t>นายณัฏฐ์  จรัสกุล</t>
  </si>
  <si>
    <t>302-2-55760-1</t>
  </si>
  <si>
    <t>ผู้กองณัฎฐ์ (หัวหน้าศรชล)</t>
  </si>
  <si>
    <t xml:space="preserve">นายณัฏฐ์  จรัสกุล </t>
  </si>
  <si>
    <t>806-0-67425-0</t>
  </si>
  <si>
    <t>นายณัฐนันท์ ศิริรัตนธัญญะกุล</t>
  </si>
  <si>
    <t>110-1-18747-6</t>
  </si>
  <si>
    <t>งานแข่งกอล์ฟการกุศล(กรมปศุสัตว์)</t>
  </si>
  <si>
    <t>นายณัฐพงศ์ พิพัฒน์สมบัติ</t>
  </si>
  <si>
    <t>408-4-30504-4</t>
  </si>
  <si>
    <t>อ๋อง</t>
  </si>
  <si>
    <t>นายณัฐพล  อ๋องสุวรรณ</t>
  </si>
  <si>
    <t>361-0-12106-8</t>
  </si>
  <si>
    <t>กรมป่าไม้จ.ระนอง</t>
  </si>
  <si>
    <t>นายทันชิต  แสงทอง</t>
  </si>
  <si>
    <t>271-2-10897-8</t>
  </si>
  <si>
    <t>แปะวันซิ่น</t>
  </si>
  <si>
    <t>นายธงชัย และ นายภูมิธัช</t>
  </si>
  <si>
    <t>197-1-70979-7</t>
  </si>
  <si>
    <t>กฐิน ตม.</t>
  </si>
  <si>
    <t>นายธนวัฒน์  ต้นน้ำนิ่ง</t>
  </si>
  <si>
    <t>587-2-33079-9</t>
  </si>
  <si>
    <t>ลูกชายเจ้ส่วน</t>
  </si>
  <si>
    <t>นายธนากร  ฉายประทีป</t>
  </si>
  <si>
    <t>581-2-46170-1</t>
  </si>
  <si>
    <t>มาม่า , แฟ็บ</t>
  </si>
  <si>
    <t>นายธนากร ฉายประทีป</t>
  </si>
  <si>
    <t>581-2-35553-6</t>
  </si>
  <si>
    <t xml:space="preserve">นายธนากร  ฉายประทีป </t>
  </si>
  <si>
    <t>190-2-47600-4</t>
  </si>
  <si>
    <t>นายธนากร  ทัศน์ธนากร</t>
  </si>
  <si>
    <t>361-1-03152-6</t>
  </si>
  <si>
    <t>ร้านดอกไม้ พวงหรีด</t>
  </si>
  <si>
    <t>นายธนู ทักษิณาวงศ์ และนายอดิศักดิ์ รุจิวิวัฒนกุล</t>
  </si>
  <si>
    <t>527-0-24240-6</t>
  </si>
  <si>
    <t>ค่าปลา-KPS</t>
  </si>
  <si>
    <t>ค่าปลา 1.)</t>
  </si>
  <si>
    <t>ระนองปั้นจั่นเข็มเจาะ</t>
  </si>
  <si>
    <t>นายธีรนิตย์ แก้วคุณ</t>
  </si>
  <si>
    <t>020-4-8449690-4</t>
  </si>
  <si>
    <t>ค่าแรงตอกเสาเข็ม</t>
  </si>
  <si>
    <t xml:space="preserve">นายนพพร เทพธรณี </t>
  </si>
  <si>
    <t>019-9-00726-1</t>
  </si>
  <si>
    <t>งานโบว์ลิ่ง</t>
  </si>
  <si>
    <t>นายนเรศ  ผุยอุทา</t>
  </si>
  <si>
    <t>020-3-0777958-5</t>
  </si>
  <si>
    <t>ค่าแก๊ส</t>
  </si>
  <si>
    <t>นายนิติพงศ์  มูสิมูล</t>
  </si>
  <si>
    <t>4242-10427-4</t>
  </si>
  <si>
    <t>นายนิติพัฒน์  พานิชสุโข</t>
  </si>
  <si>
    <t>460-2-06925-2</t>
  </si>
  <si>
    <t>นายนิธิศ  อ่อนเกตุพล</t>
  </si>
  <si>
    <t>401-158426-1</t>
  </si>
  <si>
    <t>นายบุญเรือง  อุทัยรัตน์</t>
  </si>
  <si>
    <t>107-3-74589-2</t>
  </si>
  <si>
    <t>นายพงปกรณ์  ตั้งอรุณสันติ</t>
  </si>
  <si>
    <t>407-5-55218-3</t>
  </si>
  <si>
    <t>สำรองเรือUTK</t>
  </si>
  <si>
    <t>ท่อไอเสีย</t>
  </si>
  <si>
    <t>นายประพร  นันทะวิริยะนนท์</t>
  </si>
  <si>
    <t>412-0-66748-5</t>
  </si>
  <si>
    <t>ทนายอ๋อย</t>
  </si>
  <si>
    <t>นายพงษ์พิพัฒน์ ต้นน้ำนิ่ง</t>
  </si>
  <si>
    <t>405-1-42770-4</t>
  </si>
  <si>
    <t>นายพนมศักดิ์  นาครักสุทธิ์</t>
  </si>
  <si>
    <t>837-2-02100-9</t>
  </si>
  <si>
    <t>โกจ่อจ่อ</t>
  </si>
  <si>
    <t>นายพฤฒ  เพราพันธ์</t>
  </si>
  <si>
    <t>438-1-07623-1</t>
  </si>
  <si>
    <t>แพงโซล่าเซลล์</t>
  </si>
  <si>
    <t>นายพิทักษ์  ศิลปะมาต</t>
  </si>
  <si>
    <t>082-2-85350-3</t>
  </si>
  <si>
    <t>นายมนตรี เต็มไพโรจน์</t>
  </si>
  <si>
    <t>020-4-1049015-3</t>
  </si>
  <si>
    <t>ลูกน้องผก.ชิว</t>
  </si>
  <si>
    <t>นายเมธา  วงษ์นิติรัตน์</t>
  </si>
  <si>
    <t>982-3-59172-5</t>
  </si>
  <si>
    <t>ลุงโตส่วนตัว</t>
  </si>
  <si>
    <t>นายรุ่งทิวา สำราญรมย์</t>
  </si>
  <si>
    <t>806-0-30684-7</t>
  </si>
  <si>
    <t>สำนักวัฒนธรรมจังหวัดระนอง</t>
  </si>
  <si>
    <t>นายเรวัตร  หินกอง</t>
  </si>
  <si>
    <t>024-2-95030-5</t>
  </si>
  <si>
    <t>GPS</t>
  </si>
  <si>
    <t>นายวทัญญู  กลับกลาย</t>
  </si>
  <si>
    <t>460-2-05343-7</t>
  </si>
  <si>
    <t>นายวิศิษย์ศักดิ์ ปล้องเจริญ</t>
  </si>
  <si>
    <t>540-1-59679-8</t>
  </si>
  <si>
    <t>ติดตั้งโซล่าร์เซลล์</t>
  </si>
  <si>
    <t>นายวุฒิชัย  หอมทอง</t>
  </si>
  <si>
    <t>133-4-75786-9</t>
  </si>
  <si>
    <t>ค่าวัคซีน</t>
  </si>
  <si>
    <t>นายวุฒิชัย หอมทอง</t>
  </si>
  <si>
    <t>980-9-80142-4</t>
  </si>
  <si>
    <t>นายศรชัย คชสิงห์</t>
  </si>
  <si>
    <t>806-0-35372-1</t>
  </si>
  <si>
    <t>ค่าเช่ารถ</t>
  </si>
  <si>
    <t>นายศุภชัย  รอดรักษา</t>
  </si>
  <si>
    <t>096-6-34950-9</t>
  </si>
  <si>
    <t>นายสถาพร  เครือวัลย์</t>
  </si>
  <si>
    <t>274-2-26864-3</t>
  </si>
  <si>
    <t>นายสถาพร เครือวัลย์</t>
  </si>
  <si>
    <t>282-0-32639-1</t>
  </si>
  <si>
    <t>นายสมเกียรติ อมรวัฒน์</t>
  </si>
  <si>
    <t>198-0-80670-5</t>
  </si>
  <si>
    <t>นายสมบูรณ์ พงษ์ขยัน</t>
  </si>
  <si>
    <t>165-1-19403-9</t>
  </si>
  <si>
    <t>นายสมยศ  จงเจริญ</t>
  </si>
  <si>
    <t>232-2-24488-9</t>
  </si>
  <si>
    <t>ประกันรถ MSIG</t>
  </si>
  <si>
    <t>081-787-2339</t>
  </si>
  <si>
    <t>นายสาโรจน์  เศวตดุล</t>
  </si>
  <si>
    <t>291-0-82954-4</t>
  </si>
  <si>
    <t>บริจาคของใช้ให้ผู้การ</t>
  </si>
  <si>
    <t>นายสำราญ  อำดี</t>
  </si>
  <si>
    <t>161-1-411993-8</t>
  </si>
  <si>
    <t>กฐิน กรรมการตร.ระนอง</t>
  </si>
  <si>
    <t>นายสุชัย  หลีระพันธุ์</t>
  </si>
  <si>
    <t>343-2-67153-3</t>
  </si>
  <si>
    <t>นายสุชีพ พัฒน์ทอง</t>
  </si>
  <si>
    <t>806-1-53893-8</t>
  </si>
  <si>
    <t>นายสุเมท สุขสะอาด</t>
  </si>
  <si>
    <t>001-0-32817-3</t>
  </si>
  <si>
    <t>เลขาผู้ว่าราชัน</t>
  </si>
  <si>
    <t>นายสุธรรม  เล่นทัศน์</t>
  </si>
  <si>
    <t>113-2-69037-1</t>
  </si>
  <si>
    <t>ค่าเครนยกของ</t>
  </si>
  <si>
    <t>นายสุรชัย ทำทอง</t>
  </si>
  <si>
    <t>806-0-04736-1</t>
  </si>
  <si>
    <t>เจ้าหน้าที่กรมปศุสัตว์</t>
  </si>
  <si>
    <t>นายโสภณ  นาเพียงล้อม</t>
  </si>
  <si>
    <t>056-1-68591-8</t>
  </si>
  <si>
    <t>นายอดิศร  โมฬี</t>
  </si>
  <si>
    <t>084-441-5396</t>
  </si>
  <si>
    <t>ค่าของสด</t>
  </si>
  <si>
    <t>นายอภิวิชญ์  ธาตุชล</t>
  </si>
  <si>
    <t>460-2-02390-2</t>
  </si>
  <si>
    <t>ค่ากระเพาะปลา</t>
  </si>
  <si>
    <t>น้าละมัย</t>
  </si>
  <si>
    <t>น.ส.ละมัย  พงศาภิชาติ</t>
  </si>
  <si>
    <t>โทรแจ้ง095-272-8924</t>
  </si>
  <si>
    <t>นำผลโลหะภัณฑ์</t>
  </si>
  <si>
    <t>นายดำรง และนางสุวิมล ลิ้มสถารัตน์</t>
  </si>
  <si>
    <t>232-1-04045-7</t>
  </si>
  <si>
    <t>ค่าสีและอุปกรณ์ต่างๆ  .)</t>
  </si>
  <si>
    <t>โทรแจ้ง077-822482</t>
  </si>
  <si>
    <t xml:space="preserve">นำผลโลหะภัณฑ์ </t>
  </si>
  <si>
    <t>นำผลโลหะภัณฑ์ โดย นายพิชัย ลิ้มสถารัตน์</t>
  </si>
  <si>
    <t>198-8-37685-6</t>
  </si>
  <si>
    <t>Update 11/4/2568</t>
  </si>
  <si>
    <t>นิติบุคคลหมู่บ้านอิสระพระราม9</t>
  </si>
  <si>
    <t>196-2-47922-4</t>
  </si>
  <si>
    <t>นิติบุคคลอาคารชุด ดิ อินฟินิตี้</t>
  </si>
  <si>
    <t>608-2-02402-4</t>
  </si>
  <si>
    <t>นิ่ม BBL</t>
  </si>
  <si>
    <t>นางนิ่มอนงค์ คงพล</t>
  </si>
  <si>
    <t>232-4-86088-7</t>
  </si>
  <si>
    <t>นิ่ม GSB</t>
  </si>
  <si>
    <t xml:space="preserve">นางนิ่มอนงค์ คงพล </t>
  </si>
  <si>
    <t>050-5-236603-01</t>
  </si>
  <si>
    <t>บจ.กมลจักรวาล2003</t>
  </si>
  <si>
    <t>คุณอรพินท์  กีรติกมล</t>
  </si>
  <si>
    <t>101-3-20477-9</t>
  </si>
  <si>
    <t>บจ.กระทุ่มแบน มอเตอร์</t>
  </si>
  <si>
    <t>204-4-23450-4</t>
  </si>
  <si>
    <t>บจ.กาญจน์ญาภา บริการ</t>
  </si>
  <si>
    <t>581-2-44032-3</t>
  </si>
  <si>
    <t>บจ.การไฟฟ้าเต็กซุ่นเส็ง</t>
  </si>
  <si>
    <t>คุณประสิทธิ์  อัสสพันธุ์</t>
  </si>
  <si>
    <t>001-4-18527-6</t>
  </si>
  <si>
    <t>บจ.กิจไพศาล คอนกรีต</t>
  </si>
  <si>
    <t>429-1-08450-9</t>
  </si>
  <si>
    <t>บจ.กิจไพศาลคอนกรีต</t>
  </si>
  <si>
    <t>429-2-46045-0</t>
  </si>
  <si>
    <t>บจ.กิจไพศาลคอนสตรัคชั่นแมททีเรียล</t>
  </si>
  <si>
    <t>527-0-23303-3</t>
  </si>
  <si>
    <t>ค่าของที่ร้าน(บจ.)</t>
  </si>
  <si>
    <t>บจ.กิจไพศาลวัสดุ</t>
  </si>
  <si>
    <t>163-1-29532-7</t>
  </si>
  <si>
    <t>Update 14/9/2566</t>
  </si>
  <si>
    <t>บจ.กิจไพศาลสตีล</t>
  </si>
  <si>
    <t>127-8-40062-6</t>
  </si>
  <si>
    <t>บจ.เกรียงกมล2009</t>
  </si>
  <si>
    <t>043-1-09652-8</t>
  </si>
  <si>
    <t>บจ.แกรนเมโทรฮาร์ดแวร์</t>
  </si>
  <si>
    <t>คุณมนตรี  กาญจนฉัตร</t>
  </si>
  <si>
    <t>232-2-14204-0</t>
  </si>
  <si>
    <t>บจ.คอนกรีตซีแพค ระนอง</t>
  </si>
  <si>
    <t>429-2-26056-1</t>
  </si>
  <si>
    <t>พี่ดาว</t>
  </si>
  <si>
    <t>บจ.เค.ที.แม็กซ์</t>
  </si>
  <si>
    <t>043-1-09722-2</t>
  </si>
  <si>
    <t>บจ.เค.เอส.พี อุปกรณ์</t>
  </si>
  <si>
    <t>101-3-27429-3</t>
  </si>
  <si>
    <t>บจ.เค่งน่ำฮวด</t>
  </si>
  <si>
    <t>719-1-02078-7</t>
  </si>
  <si>
    <t>บจ.เค้งหงส์ทอง</t>
  </si>
  <si>
    <t>019-1-04333-2</t>
  </si>
  <si>
    <t>ค่าซ่อมBenz</t>
  </si>
  <si>
    <t>บจ.เคดี แมชชีนเนอรี่</t>
  </si>
  <si>
    <t>756-1-01320-3</t>
  </si>
  <si>
    <t>บจ.เคพีเอส ระนอง เครน</t>
  </si>
  <si>
    <t>429-2-36911-5</t>
  </si>
  <si>
    <t>วิว</t>
  </si>
  <si>
    <t>บจ.เคพีเอสระนองเครน</t>
  </si>
  <si>
    <t>165-1-79256-4</t>
  </si>
  <si>
    <t>ค่าบริการเครน</t>
  </si>
  <si>
    <t>ร้านกิจไพศาลวัสดุ</t>
  </si>
  <si>
    <t>บจ.เคเอสวอเตอร์คูลลิ่ง</t>
  </si>
  <si>
    <t>110-0-23536-1</t>
  </si>
  <si>
    <t>บจ.โคโรเนท โบรกเกอร์</t>
  </si>
  <si>
    <t>บจ.จตุรเจริญชัย</t>
  </si>
  <si>
    <t>ดร.วินัย รุ่งฤทธิเดช</t>
  </si>
  <si>
    <t>567-3-00572-3</t>
  </si>
  <si>
    <t xml:space="preserve">บจ.จตุรเจริญชัย </t>
  </si>
  <si>
    <t>311-1-01963-8</t>
  </si>
  <si>
    <t>บจ.จรมิตร</t>
  </si>
  <si>
    <t>น.ส.กิติมา สุวรรณไพบูลย์</t>
  </si>
  <si>
    <t>025-2-30904-7</t>
  </si>
  <si>
    <t>ค่าวิเคราะห์ปลาป่น#12/21-22 WTK (53คัน)</t>
  </si>
  <si>
    <t>บจ.จีเอสเอ็ม มารีน</t>
  </si>
  <si>
    <t>คุณเจตน์จิณณ์ เชาวน์สุขุม</t>
  </si>
  <si>
    <t>704-2-37297-2</t>
  </si>
  <si>
    <t>บจ.จีเอสเอ็ม มารีนซัพพลาย</t>
  </si>
  <si>
    <t>บจ.จีเอสเอ็มมารีนซัพพลาย</t>
  </si>
  <si>
    <t>080-2-93204-9</t>
  </si>
  <si>
    <t>คุณเจตน์จิณณ์  เชาวน์สุขุม</t>
  </si>
  <si>
    <t>232-2-07429-0</t>
  </si>
  <si>
    <t>บจ.เจซีเอส แมคคานิค</t>
  </si>
  <si>
    <t>น.ส.พรประพันธิ์ ศรีโยธา</t>
  </si>
  <si>
    <t>438-0-58215-8</t>
  </si>
  <si>
    <t>บจ.เจริญมารีน</t>
  </si>
  <si>
    <t>130-3-13053-6</t>
  </si>
  <si>
    <t>บจ.เจริญยนต์ไทยพัฒนา</t>
  </si>
  <si>
    <t xml:space="preserve">บจ.เจริญยนต์ไทยพัฒนา </t>
  </si>
  <si>
    <t>005-1-09131-0</t>
  </si>
  <si>
    <t>ท่าเรือ/UST</t>
  </si>
  <si>
    <t xml:space="preserve">บจ.เจริญยนต์ไทยพัฒนา  </t>
  </si>
  <si>
    <t>วิชาดา เพิ่มพันธุ์วรวัฒน์</t>
  </si>
  <si>
    <t>919-2-32631-3</t>
  </si>
  <si>
    <t>บจ.เชือกและอวนสยาม</t>
  </si>
  <si>
    <t>101-3-24269-6</t>
  </si>
  <si>
    <t>บจ.โชคชัย พาวเวอร์ แพค 2025</t>
  </si>
  <si>
    <t>บจ.โชคชัย พาวเวอร์ แพค2025</t>
  </si>
  <si>
    <t>219-8-70005-6</t>
  </si>
  <si>
    <t>บจ.ซันนี่เวล ระนอง</t>
  </si>
  <si>
    <t>527-0-23131-8</t>
  </si>
  <si>
    <t>บจ.ซี.เอส.เอส.ซี(ประเทศไทย)</t>
  </si>
  <si>
    <t>130-7-12898-1</t>
  </si>
  <si>
    <t>บจ.ดีเจนเอนจิเนียริ่ง</t>
  </si>
  <si>
    <t>499-3-01173-5</t>
  </si>
  <si>
    <t>บจ.แดดเสรี</t>
  </si>
  <si>
    <t>140-1-36153-3</t>
  </si>
  <si>
    <t>บจ.แดน เครนเซอร์วิส</t>
  </si>
  <si>
    <t>689-2-21651-5</t>
  </si>
  <si>
    <t>บจ.ถ่ามหังกี่ เอ็นจิเนียริ่ง</t>
  </si>
  <si>
    <t>228-4-43126-5</t>
  </si>
  <si>
    <t>บจ.ไถ่เชียงระนอง</t>
  </si>
  <si>
    <t>042-8-46969-0</t>
  </si>
  <si>
    <t>บจ.ทรัพย์พุฒิเมธ</t>
  </si>
  <si>
    <t>161-1-38423-6</t>
  </si>
  <si>
    <t>บจ.ทรัพย์สิริซัพพลาย</t>
  </si>
  <si>
    <t>คุณคมสัน  โตวรวิวัฒน์</t>
  </si>
  <si>
    <t>211-0-55123-7</t>
  </si>
  <si>
    <t>บจ.ทริปเปิลเอส&amp;เอ็นอีควิปเม้นท์</t>
  </si>
  <si>
    <t>คุณสมพร อบพล</t>
  </si>
  <si>
    <t>475-2-22127-5</t>
  </si>
  <si>
    <t>บจ.ที.ซี.เค อินเตอร์เนชั่นแนล</t>
  </si>
  <si>
    <t>312-2-02378-7</t>
  </si>
  <si>
    <t>บจ.ที.เอช.เค ซีสเท็ม</t>
  </si>
  <si>
    <t>711-2-99399-6</t>
  </si>
  <si>
    <t>บจ.ทีเค.วัน ขนส่ง และ เซอร์วิส</t>
  </si>
  <si>
    <t>291-0-79342-7</t>
  </si>
  <si>
    <t>บจ.ทีเอ็นกรุ๊ป คอร์ปอเรชั่น</t>
  </si>
  <si>
    <t>331-2-99996-9</t>
  </si>
  <si>
    <t>บจ.ทีเอ็นเมตัลเวิร์ค</t>
  </si>
  <si>
    <t>331-1-02553-7</t>
  </si>
  <si>
    <t>บจ.ทีเอ็นเวิล์ดซัพพลาย</t>
  </si>
  <si>
    <t>331-1-02552-9</t>
  </si>
  <si>
    <t>บจ.ทุ่งคาคอนกรีต</t>
  </si>
  <si>
    <t>บจก.ทุ่งคาคอนกรีต</t>
  </si>
  <si>
    <t>832-6-00316-6</t>
  </si>
  <si>
    <t xml:space="preserve">บจ.ทุ่งคาคอนกรีต </t>
  </si>
  <si>
    <t>คุณวีรวัฒน์และคุณเมธา</t>
  </si>
  <si>
    <t>832-6-00655-6</t>
  </si>
  <si>
    <t>บจ.ทูลโปรเฟสชั่น</t>
  </si>
  <si>
    <t>548-2-18378-8</t>
  </si>
  <si>
    <t>บจ.เทพศิริ</t>
  </si>
  <si>
    <t>นายวรเทพ ชุมพลกูลวงศ์</t>
  </si>
  <si>
    <t>139-3-05987-6</t>
  </si>
  <si>
    <t>บจ.ไทม์ แอคเซส โซลูชั่น</t>
  </si>
  <si>
    <t>011-1-77313-0</t>
  </si>
  <si>
    <t>บจ.ไทย ท็อป ทูลส์</t>
  </si>
  <si>
    <t>215-1-00721-4</t>
  </si>
  <si>
    <t>บจ.ไทยท็อปทูลส์ ฟิชชรี</t>
  </si>
  <si>
    <t>นายธนกรณ์  จันทร์ฟ้ารุ่งเรือง</t>
  </si>
  <si>
    <t>460-2-09913-5</t>
  </si>
  <si>
    <t>ห่วงชุป</t>
  </si>
  <si>
    <t xml:space="preserve">บจ.ไทยท็อปทูลส์ ฟิชชรี </t>
  </si>
  <si>
    <t>นายโรจน์วิทย์  จันทร์ฟ้ารุ่งเรือง</t>
  </si>
  <si>
    <t>232-2-42121-7</t>
  </si>
  <si>
    <t>บจ.ไทยพิพัฒน์ทูล แอนด์ โฮมมาร์ท</t>
  </si>
  <si>
    <t>450-6-00255-5</t>
  </si>
  <si>
    <t>บจ.ไทยมุ้ย คอร์ปอเรชั่น</t>
  </si>
  <si>
    <t>050-2-23841-8</t>
  </si>
  <si>
    <t>บจ.ไทยเมทอล อิมปอร์ต</t>
  </si>
  <si>
    <t>421-1-02577-3</t>
  </si>
  <si>
    <t>บจ.ไทย อินดัสเตรียล เบรค</t>
  </si>
  <si>
    <t>170-8-02831-9</t>
  </si>
  <si>
    <t>บจ.ไทร์ทรัคเซ็นเตอร์อินเตอร์เทรด</t>
  </si>
  <si>
    <t>238-4-62341-5</t>
  </si>
  <si>
    <t xml:space="preserve">MAX </t>
  </si>
  <si>
    <t>บจ.ไทเกอร์แพค</t>
  </si>
  <si>
    <t>090-2-35339-7</t>
  </si>
  <si>
    <t>บจ.ธนพรอิเล็คทริค</t>
  </si>
  <si>
    <t>995-2-22702-2</t>
  </si>
  <si>
    <t>บจ.นครหลวงแมชีนเนอรี่</t>
  </si>
  <si>
    <t>คุณพัลลภ - ประยงค์  วิริยะสัจจะ</t>
  </si>
  <si>
    <t>050-1-06500-5</t>
  </si>
  <si>
    <t>บจ.เนตรพยัพ รับเบอร์ แมชชีน</t>
  </si>
  <si>
    <t>036-3-40972-5</t>
  </si>
  <si>
    <t>บจ.บางกอกโคมัตสุเซลส์</t>
  </si>
  <si>
    <t>533-3-00821-6</t>
  </si>
  <si>
    <t>บจ.ป.ธนะกิจรุ่งเรือง</t>
  </si>
  <si>
    <t>012-8-93132-5</t>
  </si>
  <si>
    <t>บจ.ประธานอีเลคตริค</t>
  </si>
  <si>
    <t>016-2-99549-9</t>
  </si>
  <si>
    <t>บจ.ปัทมสูตร มาร์เก็ตติ้ง</t>
  </si>
  <si>
    <t>920-0-01419-0</t>
  </si>
  <si>
    <t>บจ.พรรณแก้วขนส่ง</t>
  </si>
  <si>
    <t>232-2-25896-0</t>
  </si>
  <si>
    <t>พรรณแก้ว</t>
  </si>
  <si>
    <t>Update 1/67</t>
  </si>
  <si>
    <t>บจ.พรีเมียร์ไลนิ่ง รีนิวเอเบิล</t>
  </si>
  <si>
    <t>170-3-07181-9</t>
  </si>
  <si>
    <t>บจ.พลาสติกมาร์เก็ต</t>
  </si>
  <si>
    <t>720-2-53843-2</t>
  </si>
  <si>
    <t>บจ.พัฒนาภัณฑ์ โฮม แอพพลายแอนซ์</t>
  </si>
  <si>
    <t>161-0-01871-0</t>
  </si>
  <si>
    <t>PATTANAPAN</t>
  </si>
  <si>
    <t>Update 10/10/67</t>
  </si>
  <si>
    <t>บจ.พัฒนายนต์ชลบุรี</t>
  </si>
  <si>
    <t>130-3-09467-4</t>
  </si>
  <si>
    <t>บจ.พิน พอยต์ อินสทรูเม้นท์</t>
  </si>
  <si>
    <t>436-125446-9</t>
  </si>
  <si>
    <t>บจ.พิพัฒนกิจเทรดดิ้ง</t>
  </si>
  <si>
    <t>027-2-90906-7</t>
  </si>
  <si>
    <t>บจ.พีดับบลิว อินเตอร์มาร์ท</t>
  </si>
  <si>
    <t>คุณทศพร กิตติธรรมโรจน์</t>
  </si>
  <si>
    <t>316-2-28961-1</t>
  </si>
  <si>
    <t xml:space="preserve">บจ.พีดับบลิว อินเตอร์มาร์ท </t>
  </si>
  <si>
    <t xml:space="preserve">คุณทศพร กิตติธรรมโรจน์ </t>
  </si>
  <si>
    <t>261-2-11978-8</t>
  </si>
  <si>
    <t>บจ.พีดับบลิว อินเตอร์มาร์ท.</t>
  </si>
  <si>
    <t>316-3-01822-5</t>
  </si>
  <si>
    <t>บจ.พีอาร์วิศวกรรม BBL</t>
  </si>
  <si>
    <t xml:space="preserve">บจ.พีอาร์วิศวกรรม </t>
  </si>
  <si>
    <t>105-3-04796-3</t>
  </si>
  <si>
    <t>บจ.พีอาร์วิศวกรรม K</t>
  </si>
  <si>
    <t>บจ.พีอาร์วิศวกรรม</t>
  </si>
  <si>
    <t>060-1-00620-0</t>
  </si>
  <si>
    <t>บจ.พีเอสวิคตอรี่ ซิสเต็ม เอ็นเตอร์ไพรส์</t>
  </si>
  <si>
    <t>768-2-02805-4</t>
  </si>
  <si>
    <t>บจ.พีเอเอ็น อิมปอร์ต</t>
  </si>
  <si>
    <t>คุณพงษ์ศักดิ์  มงคลพร</t>
  </si>
  <si>
    <t>184-2-59232-8</t>
  </si>
  <si>
    <t>บจ.พีแอนด์เอสเอ็นเตอร์ไพร์ส(ประเทศไทย)</t>
  </si>
  <si>
    <t>130-4-63106-0</t>
  </si>
  <si>
    <t>บจ.ภัทรเมธากิจ</t>
  </si>
  <si>
    <t>121-3-05860-3</t>
  </si>
  <si>
    <t>บจ.มานิตย์ระนองการเกษตร</t>
  </si>
  <si>
    <t>581-2-40400-0</t>
  </si>
  <si>
    <t>kai มานิตย์เกษตร</t>
  </si>
  <si>
    <t>บจ.มิตรแท้ประกันภัย</t>
  </si>
  <si>
    <t>001-2-15679-2</t>
  </si>
  <si>
    <t>บจ.มุลเลอร์กรุ๊ป</t>
  </si>
  <si>
    <t>246-3-00521-1</t>
  </si>
  <si>
    <t>บจ.มูน สตาร์ซ์ อิมพอร์ต เอ็กซ์พอร์ต</t>
  </si>
  <si>
    <t>060-2-84909-0</t>
  </si>
  <si>
    <t>โกตาต้า</t>
  </si>
  <si>
    <t>บจ.เมก้า ยูโร</t>
  </si>
  <si>
    <t>333-1-81810-0</t>
  </si>
  <si>
    <t>บจ.เมโทร ลูบริคแคนท์</t>
  </si>
  <si>
    <t>202-4-40022-4</t>
  </si>
  <si>
    <t>บจ.เมโทรแมชีนเนอรี่</t>
  </si>
  <si>
    <t>534-3-00078-1</t>
  </si>
  <si>
    <t>บจ.โมบาย อินโนเวชั่น</t>
  </si>
  <si>
    <t>052-2-63399-2</t>
  </si>
  <si>
    <t>GPSรายปี</t>
  </si>
  <si>
    <t>support@mobileinnovation.co.th</t>
  </si>
  <si>
    <t>บจ.ย่งฮงประเทศไทย</t>
  </si>
  <si>
    <t>027-1-17722-4</t>
  </si>
  <si>
    <t>บจ.ยนต์ไทยพัฒนา</t>
  </si>
  <si>
    <t>คุณธงชัย  วรนาวิน</t>
  </si>
  <si>
    <t>048-2-98170-4</t>
  </si>
  <si>
    <t xml:space="preserve">บจ.ยนต์ไทยพัฒนา </t>
  </si>
  <si>
    <t>048-1-02442-0</t>
  </si>
  <si>
    <t>บจ.ยนตรการเมทัลเวิร์ค</t>
  </si>
  <si>
    <t>308-3-03543-0</t>
  </si>
  <si>
    <t>บจ.ยูนิตี้ ไอที ซิสเต็ม</t>
  </si>
  <si>
    <t>291-0-87818-6</t>
  </si>
  <si>
    <t>ADVICE</t>
  </si>
  <si>
    <t>บจ.ยูโรป้า ฮาร์ดแวร์ กรุ๊ป</t>
  </si>
  <si>
    <t>034-2-87677-3</t>
  </si>
  <si>
    <t>บจ.ร๊อคแคนวาส</t>
  </si>
  <si>
    <t>นายสมเกียรติ  แสนเจริญ</t>
  </si>
  <si>
    <t>090-2-10295-7</t>
  </si>
  <si>
    <t>ผ้าใบ</t>
  </si>
  <si>
    <t>บจ.โรงกลึงสองวัลย์</t>
  </si>
  <si>
    <t>คุณเครือวัลย์  วระพิมรัตน์</t>
  </si>
  <si>
    <t>711-2-49291-1</t>
  </si>
  <si>
    <t>บจ.ลี้เซียฮวด</t>
  </si>
  <si>
    <t>112-0-29398-8</t>
  </si>
  <si>
    <t>บจ.ลีบแฮรร์ (ประเทศไทย)</t>
  </si>
  <si>
    <t>280-2-29019-8</t>
  </si>
  <si>
    <t>เครื่องผสมคอนกรีต</t>
  </si>
  <si>
    <t>บจ.ลีแมชชีนเนอรี่(ประเทศไทย)</t>
  </si>
  <si>
    <t>UOB</t>
  </si>
  <si>
    <t>701-1-25701-5</t>
  </si>
  <si>
    <t>บจ.เล็กสตาร์กรุ๊ป</t>
  </si>
  <si>
    <t>494-6-00157-3</t>
  </si>
  <si>
    <t>บจ.เลิศสยามสตีล BBL</t>
  </si>
  <si>
    <t>บจ.เลิศสยามสตีล</t>
  </si>
  <si>
    <t>139-3-07629-2</t>
  </si>
  <si>
    <t>บจ.เลิศสยามสตีล K</t>
  </si>
  <si>
    <t xml:space="preserve">บจ. เลิศสยามสตีล </t>
  </si>
  <si>
    <t>066-1-06958-9</t>
  </si>
  <si>
    <t>บจ.เลี่ยงฮะเอ็นเตอร์ไพรส์</t>
  </si>
  <si>
    <t>คุณเสริมสิน วงศ์ญาพรหม</t>
  </si>
  <si>
    <t>033-1-89533-4</t>
  </si>
  <si>
    <t>บจ.วอเตอร์ วอเตอร์กรุ๊ป</t>
  </si>
  <si>
    <t>นายจักรกฤษณ์  คงเพชร</t>
  </si>
  <si>
    <t>081-1-03752-4</t>
  </si>
  <si>
    <t>บจ.วาตะศิลป์</t>
  </si>
  <si>
    <t>นายเมธี วาตะศิริกุล</t>
  </si>
  <si>
    <t>313-2-70994-4</t>
  </si>
  <si>
    <t xml:space="preserve">บจ.วาตะศิลป์ </t>
  </si>
  <si>
    <t xml:space="preserve">นายเมธี วาตะศิริกุล </t>
  </si>
  <si>
    <t>827-6-00455-5</t>
  </si>
  <si>
    <t>บจ.วาตะศิลป์โลหะการ</t>
  </si>
  <si>
    <t>291-3-05395-1</t>
  </si>
  <si>
    <t xml:space="preserve">บจ.วาตะศิลป์โลหะการ </t>
  </si>
  <si>
    <t>บจ. วาตะศิลป์โลหะการ</t>
  </si>
  <si>
    <t>296-0-62987-7</t>
  </si>
  <si>
    <t>บจ.วานิชรุ่งเรือง โกลบอล เอ็นจิเนียริ่ง</t>
  </si>
  <si>
    <t>046-3-04693-8</t>
  </si>
  <si>
    <t>บจ.วานิชรุ่งเรือง เอ็นจิเนียริ่ง</t>
  </si>
  <si>
    <t>743-1-03553-1</t>
  </si>
  <si>
    <t>บจ.วาริท</t>
  </si>
  <si>
    <t>713-2-11955-9</t>
  </si>
  <si>
    <t>บจ.วีระสตีลอิมปอร์ต</t>
  </si>
  <si>
    <t>050-2-51115-7</t>
  </si>
  <si>
    <t>บจ.วีอาร์. วาเลอร์</t>
  </si>
  <si>
    <t>919-0-00991-1</t>
  </si>
  <si>
    <t>บจ.เวลคัม เอฟโวลูชั่น</t>
  </si>
  <si>
    <t>357-2-17657-1</t>
  </si>
  <si>
    <t>กำจัดปลวก</t>
  </si>
  <si>
    <t>บจ.ไวส์เอนเตอร์ไพรส์</t>
  </si>
  <si>
    <t>055-1-08161-3</t>
  </si>
  <si>
    <t>บจ.ศรีนครชัย อินเตอร์เทรดดิ้ง</t>
  </si>
  <si>
    <t>038-4-75097-9</t>
  </si>
  <si>
    <t>บจ.ศรีโพธิ์ทองเมตัลเวิร์ค</t>
  </si>
  <si>
    <t>114-3-11686-9</t>
  </si>
  <si>
    <t>บจ.ศุฐิศา อินเทลลิเจนท์</t>
  </si>
  <si>
    <t>197-1-51365-5</t>
  </si>
  <si>
    <t>บจ.สมัยการค้า</t>
  </si>
  <si>
    <t>232-2-30998-0</t>
  </si>
  <si>
    <t>บจ.สมาร์ท คูล (ไทยแลนด์)</t>
  </si>
  <si>
    <t>บจ.สมาร์ท คูล(ไทยแลนด์)</t>
  </si>
  <si>
    <t>021-8-94998-3</t>
  </si>
  <si>
    <t>คุณณัชชารีย์  สมเผดิมชญากิตติ์</t>
  </si>
  <si>
    <t>215-7-33023-0</t>
  </si>
  <si>
    <t>บจ.สยาม โกลบอล กรุ๊ป</t>
  </si>
  <si>
    <t>919-3-00165-9</t>
  </si>
  <si>
    <t>บจ.สยามชัยอลูมิเนี่ยม และ ผ้าใบ</t>
  </si>
  <si>
    <t>น.ส.จุรีจันทร์ ประพันธเทวา</t>
  </si>
  <si>
    <t>405-9-62952-0</t>
  </si>
  <si>
    <t>ผ้าใยเต็นท์</t>
  </si>
  <si>
    <t>บจ.สยามบราเดอร์</t>
  </si>
  <si>
    <t>101-3-05631-0</t>
  </si>
  <si>
    <t>บจ.สยามแบริ่ง</t>
  </si>
  <si>
    <t>สยามแบริ่ง โดยนายประวิทย์</t>
  </si>
  <si>
    <t>103-0-65093-9</t>
  </si>
  <si>
    <t>บจ.สะดวก สะอาด ปลอดภัย</t>
  </si>
  <si>
    <t>035-3-44573-1</t>
  </si>
  <si>
    <t xml:space="preserve">บจ.สะดวก สะอาด ปลอดภัย </t>
  </si>
  <si>
    <t>คุณรัชดา  ศรีพัฒนวงศ์</t>
  </si>
  <si>
    <t>727-2-01034-4</t>
  </si>
  <si>
    <t>บจ.สินทองคำพาณิชย์</t>
  </si>
  <si>
    <t>178-8-32354-5</t>
  </si>
  <si>
    <t>ค่าเรือขึ้นคานซ่อม</t>
  </si>
  <si>
    <t>089-014-0871</t>
  </si>
  <si>
    <t>บจ.สุราษ พาร์ท&amp;เซอร์วิสเซส</t>
  </si>
  <si>
    <t>657-2-20836-0</t>
  </si>
  <si>
    <t>บจ.เหล็กสยามพาณิชย์</t>
  </si>
  <si>
    <t>711-2-67311-8</t>
  </si>
  <si>
    <t>บจ.ใหญ่สมบูรณ์เอ็นจิเนียริ่ง</t>
  </si>
  <si>
    <t>084-3-92685-1</t>
  </si>
  <si>
    <t>M-TOOL</t>
  </si>
  <si>
    <t>บจ.อมารี เอ็ซเทท</t>
  </si>
  <si>
    <t>764-2-07217-4</t>
  </si>
  <si>
    <t>ค่าโรงแรม</t>
  </si>
  <si>
    <t>บจ.อวนไทย</t>
  </si>
  <si>
    <t>139-3-06493-4</t>
  </si>
  <si>
    <t xml:space="preserve">บจ.อวนไทย </t>
  </si>
  <si>
    <t>คุณเจริญ และ คุณจุรีย์ คุปต์สินชัย</t>
  </si>
  <si>
    <t>050-2-37765-5</t>
  </si>
  <si>
    <t>บจ.อินเตอร์ โบลท์ แอนด์ฟิตติ้ง</t>
  </si>
  <si>
    <t>408-2-08614-0</t>
  </si>
  <si>
    <t>บจ.อินเตอร์เนชั่นแนล คอนเน็ค เทรด</t>
  </si>
  <si>
    <t>730-2-26789-2</t>
  </si>
  <si>
    <t>บจ.อินเทค</t>
  </si>
  <si>
    <t>คุณอาคม  นาคทอง</t>
  </si>
  <si>
    <t>734-2-34309-5</t>
  </si>
  <si>
    <t>บจ.อีซูซุระนอง</t>
  </si>
  <si>
    <t>581-2-08700-2</t>
  </si>
  <si>
    <t>KPSคอนกรีต</t>
  </si>
  <si>
    <t>บจ.เอชพี วาล์ว(ประเทศไทย)</t>
  </si>
  <si>
    <t>316-4-07920-8</t>
  </si>
  <si>
    <t>บจ.เอพีสมาร์ท</t>
  </si>
  <si>
    <t>นายสมพงค์ ชาไธสงค์</t>
  </si>
  <si>
    <t>924-7-83185-3</t>
  </si>
  <si>
    <t>บจ.เอเชียเครื่องชั่ง</t>
  </si>
  <si>
    <t>คุณประมวน  เอกปัชชา</t>
  </si>
  <si>
    <t>945-2-09885-7</t>
  </si>
  <si>
    <t xml:space="preserve">บจ.เอเชียเครื่องชั่ง </t>
  </si>
  <si>
    <t xml:space="preserve">คุณประมวน  เอกปัชชา </t>
  </si>
  <si>
    <t>589-2-18793-4</t>
  </si>
  <si>
    <t>บจ.เอส.อาร์.เจ โฟล์คลิฟท์</t>
  </si>
  <si>
    <t>คุณสุภา หรูพิทักษ์</t>
  </si>
  <si>
    <t>056-8-43179-0</t>
  </si>
  <si>
    <t>บจ.เอสเคยูนิเวอร์เซล</t>
  </si>
  <si>
    <t>คุณศิรินทิพย์  คุณวัฒน์</t>
  </si>
  <si>
    <t>245-0-51795-4</t>
  </si>
  <si>
    <t xml:space="preserve">บจ.เอสเคยูนิเวอร์เซล </t>
  </si>
  <si>
    <t>151-3-07531-5</t>
  </si>
  <si>
    <t>บจ.เอสซี เมทัล อินเตอร์กรุ๊ป</t>
  </si>
  <si>
    <t>038-1-29419-6</t>
  </si>
  <si>
    <t>บจ.แอบปอน</t>
  </si>
  <si>
    <t>001-3-30472-0</t>
  </si>
  <si>
    <t>บจ.ไอทีซีฟิตติ้ง</t>
  </si>
  <si>
    <t>นายจักรกฤษณ์  อิทธิฤทธานนท์</t>
  </si>
  <si>
    <t>048-0-29616-9</t>
  </si>
  <si>
    <t>บจ.ไอทีซีฟิตติ้ง&amp;สตีล</t>
  </si>
  <si>
    <t>016-2-43735-4</t>
  </si>
  <si>
    <t>บจ.ไอแอนด์ยู อิเล็คทริค</t>
  </si>
  <si>
    <t>043-8-20141-6</t>
  </si>
  <si>
    <t>บจ.ฮงเฮงฮวด</t>
  </si>
  <si>
    <t>คุณสุนีย์  ตกูลภักดีชุมพล</t>
  </si>
  <si>
    <t>011-2-52249-2</t>
  </si>
  <si>
    <t>บจ.ฮั๋วเฮงหลี คอร์ปอเรชั่น</t>
  </si>
  <si>
    <t>799-1-00275-4</t>
  </si>
  <si>
    <t>บจ.ฮาวเด้น แมกซี่ อินชัวรันส์ โบรกเกอร์</t>
  </si>
  <si>
    <t>181-4-83819-7</t>
  </si>
  <si>
    <t>ประกันรถBMW3ขก4386</t>
  </si>
  <si>
    <t xml:space="preserve">บจ.ฮาวเด้น แมกซี่ อินชัวรันส์ โบรกเกอร์ </t>
  </si>
  <si>
    <t>010-4-32450-0</t>
  </si>
  <si>
    <t>ประกันรถMINI5ขต8993</t>
  </si>
  <si>
    <t>บมจ.กรุงเทพดุสิตเวชการ</t>
  </si>
  <si>
    <t>215-0-32497-4</t>
  </si>
  <si>
    <t>บมจ.เมืองไทยประกันชีวิต</t>
  </si>
  <si>
    <t>QR</t>
  </si>
  <si>
    <t>QR Code</t>
  </si>
  <si>
    <t>บ่อน้ำโกแดง</t>
  </si>
  <si>
    <t>นายบุญรัตน์  สิงโต</t>
  </si>
  <si>
    <t>063-8-84844-9</t>
  </si>
  <si>
    <t>ค่าน้ำจืด  .) (  คันx150)</t>
  </si>
  <si>
    <t>LION</t>
  </si>
  <si>
    <t>บ่อน้ำจิ้นเห้ง</t>
  </si>
  <si>
    <t>น.ส.กัญญศร  นิรามิษ</t>
  </si>
  <si>
    <t>064-3-19566-6</t>
  </si>
  <si>
    <t>ค่าน้ำจืด  .) (  คันx160)</t>
  </si>
  <si>
    <t>Tel 081-597-0754</t>
  </si>
  <si>
    <t>บ่อน้ำตาอิน</t>
  </si>
  <si>
    <t>คุณวิวดี  ชมทอง</t>
  </si>
  <si>
    <t>429-2-36373-8</t>
  </si>
  <si>
    <t>โทร  097-017-4313</t>
  </si>
  <si>
    <t xml:space="preserve">บ่อน้ำตาอิน </t>
  </si>
  <si>
    <t>น.ส.วิวดี  ชมทอง</t>
  </si>
  <si>
    <t>791-2-08854-4</t>
  </si>
  <si>
    <t>update 2/5/65</t>
  </si>
  <si>
    <t>บิ๋น</t>
  </si>
  <si>
    <t>นายณัฐพล  โพธิ์ทอง</t>
  </si>
  <si>
    <t>408-1-71574-5</t>
  </si>
  <si>
    <t>ป.เจริญชัยเทรดดิ้ง</t>
  </si>
  <si>
    <t>คุณประเสริฐ เหลืองวัชรกุล</t>
  </si>
  <si>
    <t>186-0-43834-8</t>
  </si>
  <si>
    <t>ปป. ภาค8</t>
  </si>
  <si>
    <t>นายบรรจบ  วรรญเวก</t>
  </si>
  <si>
    <t>014-2-79682-1</t>
  </si>
  <si>
    <t>รายเดือน - ปป.ภาค 8</t>
  </si>
  <si>
    <t>ยกเลิก</t>
  </si>
  <si>
    <t>ปป.ภาค  8</t>
  </si>
  <si>
    <t>นายณฤพงศ์ ศรัทธาสุข</t>
  </si>
  <si>
    <t>612-2-47886-8</t>
  </si>
  <si>
    <t>update 6/7/66</t>
  </si>
  <si>
    <t>ปป.ภาค 8</t>
  </si>
  <si>
    <t>นายประเสริฐ   เภาโบรมย์</t>
  </si>
  <si>
    <t>128-1-95951-0</t>
  </si>
  <si>
    <t>update 25/8/66</t>
  </si>
  <si>
    <t>ปป.ภาค8</t>
  </si>
  <si>
    <t>นายพงศ์วิวัฒน์  ทองจันทร์</t>
  </si>
  <si>
    <t>612-2-47597-5</t>
  </si>
  <si>
    <t>update 3/6/67</t>
  </si>
  <si>
    <t>ประมงภัณฑ์</t>
  </si>
  <si>
    <t>นายชาญชัย  ธนาชีวิต</t>
  </si>
  <si>
    <t>468-0-56166-6</t>
  </si>
  <si>
    <t>กระดาษป้าย</t>
  </si>
  <si>
    <t>083-5946555</t>
  </si>
  <si>
    <t>ประยุทธ์</t>
  </si>
  <si>
    <t>นายประยุทธ์ ผลสด</t>
  </si>
  <si>
    <t>019-3-58194-3</t>
  </si>
  <si>
    <t>ประสงค์ โตวัฒนา</t>
  </si>
  <si>
    <t>นายประสงค์ โตวัฒนา</t>
  </si>
  <si>
    <t>515-2-60128-1</t>
  </si>
  <si>
    <t>ปั้มตันปุ้น</t>
  </si>
  <si>
    <t>หจก.ตันปุ้นระนอง</t>
  </si>
  <si>
    <t>527-014784-5</t>
  </si>
  <si>
    <t>ค่าน้ำมัน  .)</t>
  </si>
  <si>
    <t>Suti ตันปุ้น</t>
  </si>
  <si>
    <t>ปั้มตันปุ้น.</t>
  </si>
  <si>
    <t>หจก.ตันปุ้นระนอง.</t>
  </si>
  <si>
    <t>061-8-16332-6</t>
  </si>
  <si>
    <t>ผู้การปริญญา</t>
  </si>
  <si>
    <t>พลตำรวจตรีปริญญา ขวัญยืน</t>
  </si>
  <si>
    <t>581-2-18700-6</t>
  </si>
  <si>
    <t>รายเดือน - ผู้การบริญญา</t>
  </si>
  <si>
    <t>พ.เจริญยนต์</t>
  </si>
  <si>
    <t>นายนิพนธ์ ยินดีอนันต์</t>
  </si>
  <si>
    <t>161-1-14220-6</t>
  </si>
  <si>
    <t>ค่าอะไหล่ซ่อมรถ  .)</t>
  </si>
  <si>
    <t>Siwimon</t>
  </si>
  <si>
    <t>พ.ต.อ.ภคยศ ทนงศักดิ์</t>
  </si>
  <si>
    <t>806-0-72518-1</t>
  </si>
  <si>
    <t>พ.ต.อ.สมบัติ  ชุมพล</t>
  </si>
  <si>
    <t>232-2-34793-9</t>
  </si>
  <si>
    <t>พรชัยอะไหล่</t>
  </si>
  <si>
    <t>นายวันชัย  เต็มอุดมภาค</t>
  </si>
  <si>
    <t>460-2-03868-3</t>
  </si>
  <si>
    <t>พรรณแก้ว(ขนส่ง).</t>
  </si>
  <si>
    <t>พรรณแก้ว มีสุข</t>
  </si>
  <si>
    <t>232-1-03444-9</t>
  </si>
  <si>
    <t>พัฒนกิจ</t>
  </si>
  <si>
    <t>นายวัลลภ  ปันฉิม</t>
  </si>
  <si>
    <t>019-1-33310-1</t>
  </si>
  <si>
    <t>ค่าของ .)</t>
  </si>
  <si>
    <t>แสวง ปันฉิมยกเลิก แม่ลูกทะเลาะกัน</t>
  </si>
  <si>
    <t>พัฒนาภัณฑ์อีเล็คทริค</t>
  </si>
  <si>
    <t>หจก.พัฒนาภัณฑ์อีเล็คทริค</t>
  </si>
  <si>
    <t>581-2-31339-8</t>
  </si>
  <si>
    <t>อุปกรณ์ไฟฟ้า  .)</t>
  </si>
  <si>
    <t>พี่ชาญ</t>
  </si>
  <si>
    <t>นายภูริวัฒน์  บุญเอื้อ</t>
  </si>
  <si>
    <t>527-0-25334-6</t>
  </si>
  <si>
    <t>พี่ตั้ม</t>
  </si>
  <si>
    <t>นายสุรวุฒิ รัตนดิลก ณ ภูเก็ต</t>
  </si>
  <si>
    <t>232-2-29589-0</t>
  </si>
  <si>
    <t>พี่ธงชัย</t>
  </si>
  <si>
    <t>นายธงชัย  ชุมเกื้อ</t>
  </si>
  <si>
    <t>054-3-60753-3</t>
  </si>
  <si>
    <t>ธงชัย  ชุมเกื้อ</t>
  </si>
  <si>
    <t>พี่น้องอะไหล่</t>
  </si>
  <si>
    <t>คุณณัฐชยา  ดู่ป้อง</t>
  </si>
  <si>
    <t>088-1-78751-2</t>
  </si>
  <si>
    <t xml:space="preserve">พี่น้องอะไหล่ </t>
  </si>
  <si>
    <t>พี่เบิ้ล</t>
  </si>
  <si>
    <t>นายกิตติพงษ์  กุลฐิติกิจ</t>
  </si>
  <si>
    <t>527-0-10108-1</t>
  </si>
  <si>
    <t xml:space="preserve">พี่เบิ้ล </t>
  </si>
  <si>
    <t xml:space="preserve">นายกิตติพงษ์  กุลฐิติกิจ </t>
  </si>
  <si>
    <t>527-0-26183-6</t>
  </si>
  <si>
    <t>M-Shop</t>
  </si>
  <si>
    <t>ค่าของซื้อในนาม MAXMAJOR</t>
  </si>
  <si>
    <t>พี่ยอด (1)</t>
  </si>
  <si>
    <t>นายทวีศักดิ์  ผลดี</t>
  </si>
  <si>
    <t>302-2-80490-9</t>
  </si>
  <si>
    <t>พี่ยอด (2)</t>
  </si>
  <si>
    <t>นายชัยยันต์  ผลดี</t>
  </si>
  <si>
    <t>401-3-67833-3</t>
  </si>
  <si>
    <t>พี่ยอด (3)</t>
  </si>
  <si>
    <t>น.ส.ดารารัตน์  ผลดี</t>
  </si>
  <si>
    <t>291-0-95135-5</t>
  </si>
  <si>
    <t>อัพเดท 29/8/66</t>
  </si>
  <si>
    <t>พี่วิช</t>
  </si>
  <si>
    <t>นายวิทยา  จันทร์สาคร</t>
  </si>
  <si>
    <t>581-2-30183-8</t>
  </si>
  <si>
    <t>พี่สมชาย</t>
  </si>
  <si>
    <t>นายสมชาย มานะพิทักษ์พงษ์</t>
  </si>
  <si>
    <t>281-2-68060-8</t>
  </si>
  <si>
    <t xml:space="preserve">เงินเดือนคนขับรถ </t>
  </si>
  <si>
    <t xml:space="preserve">พี่สมชาย </t>
  </si>
  <si>
    <t>นายสมชาย  มานะพิทักษ์พงษ์</t>
  </si>
  <si>
    <t>911-0-01462-9</t>
  </si>
  <si>
    <t>อัพเดท 29/8/67</t>
  </si>
  <si>
    <t>พี่สาโรจน์</t>
  </si>
  <si>
    <t>นายสาโรจน์  จินดาพรหม</t>
  </si>
  <si>
    <t>402-7-96663-9</t>
  </si>
  <si>
    <t xml:space="preserve">ค่าแรง .) </t>
  </si>
  <si>
    <t>พี่สาวโกจ่อจ่อ</t>
  </si>
  <si>
    <t>MS TIN TIN AYE</t>
  </si>
  <si>
    <t>106-4-31039-2</t>
  </si>
  <si>
    <t>พี่สุ(MAX OFF)</t>
  </si>
  <si>
    <t>สุธาทิพย์ ผุยทุอา</t>
  </si>
  <si>
    <t>407-0-56395-1</t>
  </si>
  <si>
    <t>นายปิยวุฒิ ลิ่มศิลา</t>
  </si>
  <si>
    <t>460-2-07403-5</t>
  </si>
  <si>
    <t xml:space="preserve">พี่เสง </t>
  </si>
  <si>
    <t xml:space="preserve">นายปิยวุฒิ ลิ่มศิลา </t>
  </si>
  <si>
    <t>758-2-04149-7</t>
  </si>
  <si>
    <t>เงินสดย่อย KPS-ห้องเย็น</t>
  </si>
  <si>
    <t>พี่เสง(KPS-ห้องเย็น)</t>
  </si>
  <si>
    <t xml:space="preserve">เงินสดย่อย KAS โดยนายปิยวุฒิ  ลิ่มศิลา </t>
  </si>
  <si>
    <t>228-2-49098-9</t>
  </si>
  <si>
    <t>KPS-ห้องเย็น</t>
  </si>
  <si>
    <t>พี่เสริฐ</t>
  </si>
  <si>
    <t>นายประเสริฐ อุเสน</t>
  </si>
  <si>
    <t>527-0-14931-2</t>
  </si>
  <si>
    <t>พี่หมู</t>
  </si>
  <si>
    <t>นายวีระวัฒน์ แก้วนิ่ม</t>
  </si>
  <si>
    <t>083-876-8511</t>
  </si>
  <si>
    <t>ค่าบำรุงรักษาเว็บไซต์,ค่าดูแลระบบโปรแกรมขายปลาปี2569</t>
  </si>
  <si>
    <t xml:space="preserve">พี่หมู </t>
  </si>
  <si>
    <t>นายวีระวัฒน์  แก้วนิ่ม</t>
  </si>
  <si>
    <t>100-2-04954-3</t>
  </si>
  <si>
    <t>ค่าบำรุงรักษาเว็บไซต์,ค่าดูแลระบบโปรแกรมขายปลาปี2570</t>
  </si>
  <si>
    <t>นางศตพร พิมแช่ม</t>
  </si>
  <si>
    <t>402-7-92835-6</t>
  </si>
  <si>
    <t xml:space="preserve">พี่อี๊ด </t>
  </si>
  <si>
    <t>นางศตพร  พิมแช่ม</t>
  </si>
  <si>
    <t>527-0-14949-4</t>
  </si>
  <si>
    <t>พี่โอ๋</t>
  </si>
  <si>
    <t>น.ส.โสรญา  เรืองฤทธิ์</t>
  </si>
  <si>
    <t>527-0-17988-9</t>
  </si>
  <si>
    <t>พูนทรัพย์</t>
  </si>
  <si>
    <t>นายศุภชัย ใสสอาด</t>
  </si>
  <si>
    <t>527-0-26845-0</t>
  </si>
  <si>
    <t>โกปอง</t>
  </si>
  <si>
    <t>แพอัจฉรา</t>
  </si>
  <si>
    <t>บจ.เป็นไท ไอซ์ ซัพพลาย</t>
  </si>
  <si>
    <t>460-2-03913-2</t>
  </si>
  <si>
    <t>ค่ากว้านแพนอก</t>
  </si>
  <si>
    <t>แฟนโกหย่ง</t>
  </si>
  <si>
    <t>MRS. THI THI HTWE</t>
  </si>
  <si>
    <t>101-7-91365-6</t>
  </si>
  <si>
    <t>โอนเงินให้มะโถ้ย   .)</t>
  </si>
  <si>
    <t>ภูวเดชอ๊อกซิเจน</t>
  </si>
  <si>
    <t>นายภูวเดช   วีรสถาพร</t>
  </si>
  <si>
    <t xml:space="preserve">460-2-06034-4  </t>
  </si>
  <si>
    <t>ค่าออกซิเจน .)</t>
  </si>
  <si>
    <t>มงคลพรหมระนอง</t>
  </si>
  <si>
    <t>นายปพนพรหม  รุจินิรันดร์</t>
  </si>
  <si>
    <t>291-0-78656-1</t>
  </si>
  <si>
    <t>ร้านมงคลพรหมระนอง</t>
  </si>
  <si>
    <t xml:space="preserve">มงคลพรหมระนอง </t>
  </si>
  <si>
    <t>หจก.มงคลพรหมระนอง</t>
  </si>
  <si>
    <t>อิสลาม</t>
  </si>
  <si>
    <t>064-6-00013-6</t>
  </si>
  <si>
    <t>อัพเดท 23/4/68</t>
  </si>
  <si>
    <t>มะขามภูทับเบิก เซอร์วิส</t>
  </si>
  <si>
    <t>นายวินัยธร  บริบูรณ์</t>
  </si>
  <si>
    <t>012-8-20648-5</t>
  </si>
  <si>
    <t>มานิตย์ระนองการเกษตร KBank</t>
  </si>
  <si>
    <t>คุณกุลนิษฐ์   ตันกุลธร</t>
  </si>
  <si>
    <t>232-2-27286-6</t>
  </si>
  <si>
    <t>มานิตย์ระนองการเกษตร SCB</t>
  </si>
  <si>
    <t>คุณกุลนิษฐ์  ตันกุลธร</t>
  </si>
  <si>
    <t>581-2-35944-1</t>
  </si>
  <si>
    <t>มุกอะไหล่</t>
  </si>
  <si>
    <t>น.ส.วนิดา  แซ่ภู่</t>
  </si>
  <si>
    <t>527-0-26373-3</t>
  </si>
  <si>
    <t>ค่าอะไหล่Cummins</t>
  </si>
  <si>
    <t xml:space="preserve">มุกอะไหล่ </t>
  </si>
  <si>
    <t xml:space="preserve">น.ส.วนิดา  แซ่ภู่ </t>
  </si>
  <si>
    <t>403-9-44593-8</t>
  </si>
  <si>
    <t>อัพเดท 10/10/67</t>
  </si>
  <si>
    <t xml:space="preserve">มูลนิธิโรงเจเต๋าบ้อเก็ง </t>
  </si>
  <si>
    <t>553-2-11391-3</t>
  </si>
  <si>
    <t>ยี่เหลง</t>
  </si>
  <si>
    <t>น.ส.เจษฎา ลิ่มศิลา</t>
  </si>
  <si>
    <t>870-7-02587-3</t>
  </si>
  <si>
    <t>ยี่เอ้ง</t>
  </si>
  <si>
    <t>น.ส.วลีวรรณ  เพชรไฝ</t>
  </si>
  <si>
    <t>180-7-05838-1</t>
  </si>
  <si>
    <t>ร.อ.ปรีชา  น้อยกาญจนะ</t>
  </si>
  <si>
    <t>092-273-6548</t>
  </si>
  <si>
    <t>ผู้กองน้อย</t>
  </si>
  <si>
    <t>รร.น้ำใสเขาสวย</t>
  </si>
  <si>
    <t>นางจีระวรรณ  เศวตะดุล</t>
  </si>
  <si>
    <t>084-249-6959</t>
  </si>
  <si>
    <t>ค่าห้องพัก</t>
  </si>
  <si>
    <t>รวย รวย บริการ</t>
  </si>
  <si>
    <t>โดยนายเมธา วงษ์นิติรัตน์</t>
  </si>
  <si>
    <t>113-2-26213-2</t>
  </si>
  <si>
    <t xml:space="preserve">รวย รวย บริการ </t>
  </si>
  <si>
    <t>นายเมธา วงษ์นิติรัตน์</t>
  </si>
  <si>
    <t>534-0-06188-5</t>
  </si>
  <si>
    <t>ระนองแก๊ส</t>
  </si>
  <si>
    <t>581-2-13173-8</t>
  </si>
  <si>
    <t>ระนองเคหะภัณฑ์</t>
  </si>
  <si>
    <t>232-2-22624-4</t>
  </si>
  <si>
    <t>ระนองช่างเจียร์</t>
  </si>
  <si>
    <t>คุณทนงค์  สุขสวัสดิ์</t>
  </si>
  <si>
    <t>527-0-21770-5</t>
  </si>
  <si>
    <t>ระนองใบจักร</t>
  </si>
  <si>
    <t>นายฐาเดช ก้องพัฒนางกูร</t>
  </si>
  <si>
    <t>232-2-37294-1</t>
  </si>
  <si>
    <t>สันติ</t>
  </si>
  <si>
    <t xml:space="preserve">ระนองใบจักร </t>
  </si>
  <si>
    <t>นายฐาเดช  ก้องพัฒนางกูร</t>
  </si>
  <si>
    <t>291-0-70288-1</t>
  </si>
  <si>
    <t>ระนองพริ้นติ้ง</t>
  </si>
  <si>
    <t>นายกิตติศักดิ์ พูลศรี</t>
  </si>
  <si>
    <t>232-2-33395-4</t>
  </si>
  <si>
    <t>แผ่นป้านอะคลิลิค</t>
  </si>
  <si>
    <t>พี่เสง/พี่เล็ก</t>
  </si>
  <si>
    <t>ระนองลิเดอร์</t>
  </si>
  <si>
    <t>นางสาวิตรี ตั๋นกุญชร</t>
  </si>
  <si>
    <t>527-0-17847-7</t>
  </si>
  <si>
    <t>ค่าเครื่องดื่ม  .)</t>
  </si>
  <si>
    <t>โกเสียง</t>
  </si>
  <si>
    <t xml:space="preserve">ระนองลิเดอร์ </t>
  </si>
  <si>
    <t>นางสาวิตรี  ตั๋นกุญชร</t>
  </si>
  <si>
    <t>161-1-42707-6</t>
  </si>
  <si>
    <t>ระนองลิเดอร์(โกเสียง)</t>
  </si>
  <si>
    <t>นายไพทูลย์ ตั๋นกุญชร</t>
  </si>
  <si>
    <t>527-0-18032-5</t>
  </si>
  <si>
    <t>update 11/1/67</t>
  </si>
  <si>
    <t>ระนองออฟเซ็ท</t>
  </si>
  <si>
    <t>นายพงศ์พันธ์  จันทร์บูรณะศิริ</t>
  </si>
  <si>
    <t>020-2-2015571-5</t>
  </si>
  <si>
    <t>ระนองแฮดเดอร์</t>
  </si>
  <si>
    <t>นายชัยวัฒน์  รักเจริญกิจวิโชติ</t>
  </si>
  <si>
    <t>232-1-04085-6</t>
  </si>
  <si>
    <t>081-893-5395</t>
  </si>
  <si>
    <t>รัตนการพิมพ์</t>
  </si>
  <si>
    <t>คุณศศิกานต์  รัตนดิลก ณ ภูเก็ต</t>
  </si>
  <si>
    <t>581-2-14282-8</t>
  </si>
  <si>
    <t>รัตนรังสรรค์เทรล โดยร.25 พัน2</t>
  </si>
  <si>
    <t>ร้านขายไก่</t>
  </si>
  <si>
    <t>นางเสาวนีย์  นาคสวัสดิ์</t>
  </si>
  <si>
    <t>581-3-02267-3</t>
  </si>
  <si>
    <t>ซื้อให้เรือ</t>
  </si>
  <si>
    <t>ร้านขายผลไม้</t>
  </si>
  <si>
    <t>นายชัยสิทธิ์  จันทร์ศิริ</t>
  </si>
  <si>
    <t>291-0-85766-9</t>
  </si>
  <si>
    <t>ร้านขายผัก</t>
  </si>
  <si>
    <t>น.ส.ละออง ขุนทิพย์</t>
  </si>
  <si>
    <t>361-0-274549</t>
  </si>
  <si>
    <t>ร้านขายมาม่า</t>
  </si>
  <si>
    <t>น.ส.นิตย์ชนก  อำพันธุ์สุข</t>
  </si>
  <si>
    <t xml:space="preserve">ร้านจ๊ะเอ๋  </t>
  </si>
  <si>
    <t>นางศิริพร  กิตติโสภณกุล</t>
  </si>
  <si>
    <t>007-1-90064-9</t>
  </si>
  <si>
    <t>ป้าม</t>
  </si>
  <si>
    <t>ร้านช่างนาย</t>
  </si>
  <si>
    <t>นายวรเดช  ยอดบุนอก</t>
  </si>
  <si>
    <t>429-2-40905-1</t>
  </si>
  <si>
    <t xml:space="preserve">ค่าแรง ซ่อมเรดาร์  .) </t>
  </si>
  <si>
    <t>ช่างนาย</t>
  </si>
  <si>
    <t>ร้านช่างนาย.</t>
  </si>
  <si>
    <t>นายวรเดช ยอดบุนอก</t>
  </si>
  <si>
    <t>527-0-25997-0</t>
  </si>
  <si>
    <t xml:space="preserve">ร้านดวงดี  </t>
  </si>
  <si>
    <t>นายอัฐพงษ์ อัครจิตตานนท์</t>
  </si>
  <si>
    <t>163-3-30118-9</t>
  </si>
  <si>
    <t>ร้านดวงดี</t>
  </si>
  <si>
    <t>นายอัฐพงษ์  อัครจิตตานนท์</t>
  </si>
  <si>
    <t>232-2-21666-4</t>
  </si>
  <si>
    <t>ค่าของ  .)</t>
  </si>
  <si>
    <t>น้านิด</t>
  </si>
  <si>
    <t>Update 14/3/68</t>
  </si>
  <si>
    <t xml:space="preserve">ร้านดวงดี </t>
  </si>
  <si>
    <t>นายอัฐพงษ์   อัครจิตตานนท์</t>
  </si>
  <si>
    <t>403-4-53542-9</t>
  </si>
  <si>
    <t>Update 4/8/66</t>
  </si>
  <si>
    <t>ร้านดี.บี.แมชชีน</t>
  </si>
  <si>
    <t>ร้านดี.บี.แมชชีนโดยนายวิโรจน์ โสตถินิรันดร</t>
  </si>
  <si>
    <t>008-3-31616-0</t>
  </si>
  <si>
    <t>ร้านนพคุณดีเซล</t>
  </si>
  <si>
    <t>คุณจีรวรรณ  เพ็ชรวงศ์</t>
  </si>
  <si>
    <t>113-2-36854-2</t>
  </si>
  <si>
    <t>ร้านเพื่อนอิเล็กทรอนิกส์</t>
  </si>
  <si>
    <t>นายประจวบ จินดาพงษ์</t>
  </si>
  <si>
    <t>402-8-15902-3</t>
  </si>
  <si>
    <t>ซ่อมดาวเทียม  .)</t>
  </si>
  <si>
    <t xml:space="preserve"> </t>
  </si>
  <si>
    <t>ร้านแฟ้บ</t>
  </si>
  <si>
    <t>น.ส.นิตย์ชนก อำพันธุ์สุข</t>
  </si>
  <si>
    <t>ร้านภักดีเครื่องเย็น</t>
  </si>
  <si>
    <t>ทัศนี ธีระเดช</t>
  </si>
  <si>
    <t>434-0-15846-0</t>
  </si>
  <si>
    <t>ตู้แช่ให้ผู้การ</t>
  </si>
  <si>
    <t>ร้านมงคลอิควิปเม้น</t>
  </si>
  <si>
    <t>นายก้องเกียรติ  มงคล</t>
  </si>
  <si>
    <t>161-1-27627-0</t>
  </si>
  <si>
    <t>ร้านมีตัง</t>
  </si>
  <si>
    <t>นายพงษ์พัฒน์ พิพัฒนพรวรกูล</t>
  </si>
  <si>
    <t>310-2-69536-2</t>
  </si>
  <si>
    <t>ร้านเอส เอ อะไหล่ยนต์</t>
  </si>
  <si>
    <t>คุณสุชาดา  อริยะวุฒิพันธ์</t>
  </si>
  <si>
    <t>062-4-43169-3</t>
  </si>
  <si>
    <t xml:space="preserve">เรืองการช่าง </t>
  </si>
  <si>
    <t>น.ส.จิรวัฒน์ เรืองช่วย</t>
  </si>
  <si>
    <t>460-2-05492-1</t>
  </si>
  <si>
    <t>เรืองการช่าง</t>
  </si>
  <si>
    <t>นายอานนท์ เรืองช่วย</t>
  </si>
  <si>
    <t>131-3-30485-6</t>
  </si>
  <si>
    <t>แร่นอง(ขนส่ง)</t>
  </si>
  <si>
    <t>นางจินตนา  สุดภักดี</t>
  </si>
  <si>
    <t>581-2-08647-0</t>
  </si>
  <si>
    <t xml:space="preserve">โรงกลึงช่างสุข- ปากคลอง </t>
  </si>
  <si>
    <t>อรจิดาภา ใจเอื้อ</t>
  </si>
  <si>
    <t>KBank</t>
  </si>
  <si>
    <t>184-3-68654-7</t>
  </si>
  <si>
    <t>ค่าแรงซ่อมโฟล์คลิฟท์</t>
  </si>
  <si>
    <t>โรงกลึงช่างสุข-ปากคลอง</t>
  </si>
  <si>
    <t>นายสุวิจักขณ์  ใจเอื้อ</t>
  </si>
  <si>
    <t>460-2-08061-2</t>
  </si>
  <si>
    <t xml:space="preserve">โรงกลึงช่างสุข-ปากคลอง </t>
  </si>
  <si>
    <t>น.ส.ธรกนก  ใจเอื้อ</t>
  </si>
  <si>
    <t>460-2-07607-0</t>
  </si>
  <si>
    <t xml:space="preserve">โรงกลึงช่างสุข - ปากคลอง </t>
  </si>
  <si>
    <t xml:space="preserve">นายสุวิจักขณ์  ใจเอื้อ </t>
  </si>
  <si>
    <t>020-4-0963146-0</t>
  </si>
  <si>
    <t>โรงกลึงหมิ่นเฮง</t>
  </si>
  <si>
    <t>นายทินกรและนายกำจร พิพัฒนกุลชัย</t>
  </si>
  <si>
    <t>027-2-85667-2</t>
  </si>
  <si>
    <t>โรงงานน้ำKH</t>
  </si>
  <si>
    <t>RONGNGANNAMKH</t>
  </si>
  <si>
    <t>783-3-00083-4</t>
  </si>
  <si>
    <t>โรงเจียร์ อันดามัน ระนอง</t>
  </si>
  <si>
    <t>คุณน้องรัก  สมแก้ว</t>
  </si>
  <si>
    <t>075-3-78436-5</t>
  </si>
  <si>
    <t>โรงน้ำแข็งเจริญชัย</t>
  </si>
  <si>
    <t>คุณธนู ทักษิณาวงศ์</t>
  </si>
  <si>
    <t>416-0-80775-2</t>
  </si>
  <si>
    <t>ค่าน้ำแข็ง .) ( ซองx90)</t>
  </si>
  <si>
    <t>โรงน้ำแข็งอดิศร</t>
  </si>
  <si>
    <t>นายฐนโรจน์  จงประเสริฐสิริ</t>
  </si>
  <si>
    <t>806-0-50868-7</t>
  </si>
  <si>
    <t>พี่นุช</t>
  </si>
  <si>
    <t>ลี๊เซียฮวด</t>
  </si>
  <si>
    <t>ลุงเล็ก</t>
  </si>
  <si>
    <t>นายพิสิฎฐ  เอี่ยมองค์</t>
  </si>
  <si>
    <t>232-2-05068-5</t>
  </si>
  <si>
    <t>เลิศสยามสตีล</t>
  </si>
  <si>
    <t>คุณสุวรรณา  วงศ์ดีเลิศสกุล</t>
  </si>
  <si>
    <t>195-3-02044-1</t>
  </si>
  <si>
    <t>โลหะไพโรจน์</t>
  </si>
  <si>
    <t>นายสุรินทร์ เจียรวนาลี</t>
  </si>
  <si>
    <t>081-893-0051</t>
  </si>
  <si>
    <t xml:space="preserve">โลหะไพโรจน์ </t>
  </si>
  <si>
    <t>นายสุรินทร์  เจียรวนาลี</t>
  </si>
  <si>
    <t>527-0-25491-4</t>
  </si>
  <si>
    <t>วัช (LB)</t>
  </si>
  <si>
    <t>นายวีระ จุลเสนีย์ชร</t>
  </si>
  <si>
    <t>460-2-09533-4</t>
  </si>
  <si>
    <t>ผู้จัดการเรือ</t>
  </si>
  <si>
    <t xml:space="preserve">วัช (LB) </t>
  </si>
  <si>
    <t>นายวีระ  จุลเสนีย์ชร</t>
  </si>
  <si>
    <t>527-0-24094-7</t>
  </si>
  <si>
    <t>วัด บางริ้นสามัคคีธรรม</t>
  </si>
  <si>
    <t>361-0-46804-1</t>
  </si>
  <si>
    <t>บริจาค</t>
  </si>
  <si>
    <t>วัดสุวรรณคีรีวิหาร</t>
  </si>
  <si>
    <t>083-8-15079-9</t>
  </si>
  <si>
    <t>วาสนาอดิศร</t>
  </si>
  <si>
    <t>นายเอื้ออังกูร  จงประเสริฐสิริ</t>
  </si>
  <si>
    <t>429-2-43120-4</t>
  </si>
  <si>
    <t xml:space="preserve">วาสนาอดิศร </t>
  </si>
  <si>
    <t>นายฐนโรจน์   จงประเสริฐสิริ</t>
  </si>
  <si>
    <t>791-2-03788-9</t>
  </si>
  <si>
    <t xml:space="preserve">วาสนาอดิศร  </t>
  </si>
  <si>
    <t>บจ.ล่ำซำดีโลจิสติก</t>
  </si>
  <si>
    <t>791-2-05618-6</t>
  </si>
  <si>
    <t>วิ่งพักตับระนอง</t>
  </si>
  <si>
    <t>วิ่งพักตับระนอง โดยคุณสุชีพ พัฒน์ทอง</t>
  </si>
  <si>
    <t>806-0-69087-6</t>
  </si>
  <si>
    <t>ศิริมงคล</t>
  </si>
  <si>
    <t>บจ.ศิริมงคลโลจิสติกส์</t>
  </si>
  <si>
    <t>534-0-12899-9</t>
  </si>
  <si>
    <t>ส.การดีเซล</t>
  </si>
  <si>
    <t>นายทิวา และนายธนรัฎฐกรณ์ ตันเสถียร</t>
  </si>
  <si>
    <t>025-1-65772-6</t>
  </si>
  <si>
    <t>ส.ค้าเหล็ก</t>
  </si>
  <si>
    <t>ลักษรินทร์  จันทร์แสงวิเศษ</t>
  </si>
  <si>
    <t>527-020258-2</t>
  </si>
  <si>
    <t>ค่าเหล็ก .)</t>
  </si>
  <si>
    <t>เจ๊เล็ก</t>
  </si>
  <si>
    <t>สภาวัฒนธรรมจังหวัดระนอง</t>
  </si>
  <si>
    <t>806-1-40403-6</t>
  </si>
  <si>
    <t>สนับสนุนป้ายกินเจ</t>
  </si>
  <si>
    <t>สมัยการค้า</t>
  </si>
  <si>
    <t>นายสมศักดิ์ ปรัชญาวรากร</t>
  </si>
  <si>
    <t>232-2-29350-2</t>
  </si>
  <si>
    <t>สมาคมผู้ผลิตปลาป่นไทย</t>
  </si>
  <si>
    <t>195-3-02755-2</t>
  </si>
  <si>
    <t>peemai2u</t>
  </si>
  <si>
    <t>สรรพสามิต</t>
  </si>
  <si>
    <t>นายธวัต เชื้อดี</t>
  </si>
  <si>
    <t>806-1-22259-0</t>
  </si>
  <si>
    <t>รายเดือนสรรพสามิต</t>
  </si>
  <si>
    <t>สหทำเบาะ</t>
  </si>
  <si>
    <t>นายยศพัฒน์  ตั้งสมบัติสกุล</t>
  </si>
  <si>
    <t>791-2-00443-4</t>
  </si>
  <si>
    <t>สำนักงานเขตบางกะปิ</t>
  </si>
  <si>
    <t>ภาษีที่ดินและสิ่งปลูกสร้าง</t>
  </si>
  <si>
    <t>สุขประเสริฐการยาง</t>
  </si>
  <si>
    <t>นางสุภารัตน์  ลัภนะกุล</t>
  </si>
  <si>
    <t>581-2-32101-6</t>
  </si>
  <si>
    <t>สุพรรษา  ชัยชนะ</t>
  </si>
  <si>
    <t>059-1-25516-9</t>
  </si>
  <si>
    <t>แสงรุ่งมารีน</t>
  </si>
  <si>
    <t>นายพีระ  ณ ถลาง</t>
  </si>
  <si>
    <t>460-2-01548-9</t>
  </si>
  <si>
    <t>062-5966252</t>
  </si>
  <si>
    <t>หจก. เจริญยนต์ไทยพัฒนา</t>
  </si>
  <si>
    <t>คุณวิชาดา  เพิ่มพันธุ์วรวัฒน์</t>
  </si>
  <si>
    <t>หจก.ก.แสงทอง</t>
  </si>
  <si>
    <t>404-2-07919-0</t>
  </si>
  <si>
    <t>ขอจากน้าหมวย 29/8/66</t>
  </si>
  <si>
    <t>หจก.กังย่งเฮง</t>
  </si>
  <si>
    <t>คุณธนาภรณ์  เพราะดีงาม</t>
  </si>
  <si>
    <t>308-5-24006-1</t>
  </si>
  <si>
    <t xml:space="preserve">หจก.กังย่งเฮง </t>
  </si>
  <si>
    <t>281-2-45916-8</t>
  </si>
  <si>
    <t>หจก.เกษมพงษ์รัตน์</t>
  </si>
  <si>
    <t>398-2-95466-4</t>
  </si>
  <si>
    <t>หจก.แกรนเมโทรฮาร์ดแวร์</t>
  </si>
  <si>
    <t>122-2-13785-1</t>
  </si>
  <si>
    <t>หจก.ข้ามสมุทรขนส่ง</t>
  </si>
  <si>
    <t>429-1-05081-5</t>
  </si>
  <si>
    <t>หจก.จ.เจริญกรุง</t>
  </si>
  <si>
    <t>คุณปุณณภา  เจียรมณีงาม</t>
  </si>
  <si>
    <t>080-2-92740-1</t>
  </si>
  <si>
    <t xml:space="preserve">หจก.จ.เจริญกรุง </t>
  </si>
  <si>
    <t>080-2-48154-3</t>
  </si>
  <si>
    <t>หจก.จีทีอาร์ ซัพพลาย</t>
  </si>
  <si>
    <t>972-2-52993-3</t>
  </si>
  <si>
    <t>หจก.เจริญยนต์ไทยพัฒนา</t>
  </si>
  <si>
    <t>005-2-61833-9</t>
  </si>
  <si>
    <t>ของNo Vat</t>
  </si>
  <si>
    <t>หจก.ชุมพรรุ่งเรืองทรานสปร์ต</t>
  </si>
  <si>
    <t>113-2-51750-5</t>
  </si>
  <si>
    <t>หจก.ทรัพย์สิริซัพพลาย</t>
  </si>
  <si>
    <t>188-1-43657-7</t>
  </si>
  <si>
    <t>หจก.ทิเม้ง</t>
  </si>
  <si>
    <t>050-1-02664-6</t>
  </si>
  <si>
    <t>หจก.เทพศิริ</t>
  </si>
  <si>
    <t>052-8-05352-1</t>
  </si>
  <si>
    <t>หจก.ไทยรับเบอร์แอนด์ฮาร์ดแวร์</t>
  </si>
  <si>
    <t>802-2-01220-0</t>
  </si>
  <si>
    <t>หจก.พรรณแก้วขนส่ง</t>
  </si>
  <si>
    <t>หจก.พี.เค.แอนด์ พี.พี.เทรดดิ้ง</t>
  </si>
  <si>
    <t>111-2-11197-4</t>
  </si>
  <si>
    <t>หจก.มารีนไทย ชิปยาร์ด&amp;เอ็นจิเนียริ่ง</t>
  </si>
  <si>
    <t>068-3-36425-8</t>
  </si>
  <si>
    <t>หจก.ยิ่งยง สมาร์ท บิส</t>
  </si>
  <si>
    <t>410-0-42025-1</t>
  </si>
  <si>
    <t>ค่าบริการ Server ตู้Tiger Cashbox 1ปี(25/12/24-24/12/25)</t>
  </si>
  <si>
    <t>หจก.สาธิตกลการ</t>
  </si>
  <si>
    <t>044-1-01532-1</t>
  </si>
  <si>
    <t>หจก.สุขประเสริฐการยาง</t>
  </si>
  <si>
    <t>581-2-12730-7</t>
  </si>
  <si>
    <t>หจก.เสกศิริเนติพันธ์</t>
  </si>
  <si>
    <t>232-1-03519-4</t>
  </si>
  <si>
    <t>หจก.อ้วนเทอร์โบ</t>
  </si>
  <si>
    <t>นายอธิวัฒน์  หลอดสันเทียะ</t>
  </si>
  <si>
    <t>849-2-06517-0</t>
  </si>
  <si>
    <t>หจก.อันดามัน ระนอง ขนส่ง</t>
  </si>
  <si>
    <t>790-2-39193-7</t>
  </si>
  <si>
    <t>หจก.เอส.เอ็ม.พี ระนองเทรดดิ้ง</t>
  </si>
  <si>
    <t>361-0-03378-9</t>
  </si>
  <si>
    <t>คุณติ๊ก 081-9686118</t>
  </si>
  <si>
    <t>หจก.ฮะเซ่งจั่น</t>
  </si>
  <si>
    <t>042-2-81711-4</t>
  </si>
  <si>
    <t>หจก.ฮะเซ้งพาณิชย์</t>
  </si>
  <si>
    <t>050-2-24937-1</t>
  </si>
  <si>
    <t>หนูดี</t>
  </si>
  <si>
    <t>น.ส.ฐิตารีย์  ทักษิณาวงศ์</t>
  </si>
  <si>
    <t>800-9-32664-3</t>
  </si>
  <si>
    <t xml:space="preserve">หนูดี </t>
  </si>
  <si>
    <t>น.ส.ฐิตารีย์   ทักษิณาวงศ์</t>
  </si>
  <si>
    <t>141-8-31192-0</t>
  </si>
  <si>
    <t>หมู่บ้านแพใหม่</t>
  </si>
  <si>
    <t>020-4-6939244-1</t>
  </si>
  <si>
    <t xml:space="preserve">สมทบช่วยผู้อพยพ จ.สุรินทร์ </t>
  </si>
  <si>
    <t>ห้องปฏิบัติการกลาง</t>
  </si>
  <si>
    <t>บมจ.ห้องปฏิบัติการกลาง(ประเทศไทย)</t>
  </si>
  <si>
    <t>161-5-54505-8</t>
  </si>
  <si>
    <t>หนิน</t>
  </si>
  <si>
    <t>อนุสรณ์(ฉีดโฟม)</t>
  </si>
  <si>
    <t>คุณอนุสรณ์และคุณภาวิณี ลีละบรรยงค์</t>
  </si>
  <si>
    <t>324-3-01659-1</t>
  </si>
  <si>
    <t>ค่าฉีดโฟม</t>
  </si>
  <si>
    <t>อวนเจ้จิ๋ม</t>
  </si>
  <si>
    <t>นางจิระประไพ  เทียนอำไพ</t>
  </si>
  <si>
    <t>527-0-21719-2</t>
  </si>
  <si>
    <t>ค่าอวน สลิงหุ้มเชือก</t>
  </si>
  <si>
    <t>เจ๊จิ๋ม</t>
  </si>
  <si>
    <t>อันดามันขนส่ง(โกกิ้ว)</t>
  </si>
  <si>
    <t>นายบุณย์เนตร  ลิ่มตั้ง</t>
  </si>
  <si>
    <t>429-2-21175-4</t>
  </si>
  <si>
    <t>ค่าขนส่ง .)</t>
  </si>
  <si>
    <t>พี่นนท์</t>
  </si>
  <si>
    <t>อู่ขวัญชีวิต</t>
  </si>
  <si>
    <t>คุณบุปผา สายสาหร่าย</t>
  </si>
  <si>
    <t>581-2-08847-2</t>
  </si>
  <si>
    <t>ค่าแรงและอะไหล่ซ่อมรถ</t>
  </si>
  <si>
    <t>Tel น้าบุปผา</t>
  </si>
  <si>
    <t xml:space="preserve">อู่ขวัญชีวิต </t>
  </si>
  <si>
    <t>นายเอกราช  ติกวัฒนานนท์</t>
  </si>
  <si>
    <t>581-2-17255-6</t>
  </si>
  <si>
    <t>ค่ารถน้ำ</t>
  </si>
  <si>
    <t>อู่ช่างขวัญ</t>
  </si>
  <si>
    <t>คุณสุพพัต  ชัยศิริภูริสกุล</t>
  </si>
  <si>
    <t>175-1-12467-4</t>
  </si>
  <si>
    <t>อู่ช่างปลา</t>
  </si>
  <si>
    <t>คุณขวัญนภา ทองคำ</t>
  </si>
  <si>
    <t>429-2-24514-1</t>
  </si>
  <si>
    <t>อู่ช่างปลา 093-5829456</t>
  </si>
  <si>
    <t xml:space="preserve">อู่ช่างปลา </t>
  </si>
  <si>
    <t>นายวีระชัย  ทองคำ</t>
  </si>
  <si>
    <t>361-0-23225-0</t>
  </si>
  <si>
    <t xml:space="preserve">อู่ช่างปลา   </t>
  </si>
  <si>
    <t>นายวีระชัย   ทองคำ</t>
  </si>
  <si>
    <t>791-2-03975-2</t>
  </si>
  <si>
    <t>อู่นิพนธ์</t>
  </si>
  <si>
    <t>นายนิพนธ์ ทวนทอง</t>
  </si>
  <si>
    <t>460-2-06492-7</t>
  </si>
  <si>
    <t>ซ่อมเรือ</t>
  </si>
  <si>
    <t>อู่เสงี่ยมการช่าง</t>
  </si>
  <si>
    <t>คุณพิมพ์ชนก ถิ่นวงษ์ยอด</t>
  </si>
  <si>
    <t>161-1-23879-2</t>
  </si>
  <si>
    <t>อู่เสน่ห์</t>
  </si>
  <si>
    <t>นางกิรณา  สุขอร่าม</t>
  </si>
  <si>
    <t>232-2-11657-0</t>
  </si>
  <si>
    <t>โอ๋เจริญการช่าง</t>
  </si>
  <si>
    <t>นายธีรยุทธ สุขแจ่ม</t>
  </si>
  <si>
    <t>291-0-83736-4</t>
  </si>
  <si>
    <t>Tel 065-479-3987</t>
  </si>
  <si>
    <t>เฮียเก๊า</t>
  </si>
  <si>
    <t>นายเมธี  วาตะศิริกุล</t>
  </si>
  <si>
    <t>317-1-02251-6</t>
  </si>
  <si>
    <t>Suspense</t>
  </si>
  <si>
    <t>ตู๋โอนผิดบัญชีคะเลยทำโอนออกคะ</t>
  </si>
  <si>
    <t>***</t>
  </si>
  <si>
    <t>รวม</t>
  </si>
  <si>
    <t>รวมสุทธิ</t>
  </si>
  <si>
    <t>คงเหลือ(2ลบ.)</t>
  </si>
  <si>
    <t>จ่าย</t>
  </si>
  <si>
    <t>รับ</t>
  </si>
  <si>
    <t>อวน-เจ้จิ๋ม</t>
  </si>
  <si>
    <t>วาสนาอดิศรขนส่ง</t>
  </si>
  <si>
    <t>ร้านขายผัก (ละออง ขุนทิพย์)</t>
  </si>
  <si>
    <t>ร้านขายผลไม้ (ชัยสิทธิ์ จันทร์ศิริ)</t>
  </si>
  <si>
    <t>ร้านขายไก่ (เสาวณีย์ นาคสวัสดิ์)</t>
  </si>
  <si>
    <t>มานิตย์ระนองการเกษตร</t>
  </si>
  <si>
    <t>พี่ยอด</t>
  </si>
  <si>
    <t>พรรณแก้ว(ขนส่ง)</t>
  </si>
  <si>
    <t>ปั้มเทพศิรินทร์</t>
  </si>
  <si>
    <t>ชุมพรรุ่งเรือง</t>
  </si>
  <si>
    <t>ช่างเพชรค่าบรรทุกปลาป่น</t>
  </si>
  <si>
    <t>ช่างบ่าว</t>
  </si>
  <si>
    <t>ช่างเดช-ต่อเรือเหล็ก(พ่นทราย)</t>
  </si>
  <si>
    <t>คลีนิคมือถือ</t>
  </si>
  <si>
    <t>คอนกรีตซีแพคระนอง</t>
  </si>
  <si>
    <t>โกเอขนส่ง</t>
  </si>
  <si>
    <t>โกหมกขนส่ง</t>
  </si>
  <si>
    <t>PPไฮโดรลิค(TLไฮโดรลิค)</t>
  </si>
  <si>
    <t>ค่าใช้จ่ายเรือบาร์ช</t>
  </si>
  <si>
    <t>W.T.K</t>
  </si>
  <si>
    <t>W.P.L</t>
  </si>
  <si>
    <t>PH</t>
  </si>
  <si>
    <t>MV-001</t>
  </si>
  <si>
    <t>ACT-18</t>
  </si>
  <si>
    <t>เบิกเงิน</t>
  </si>
  <si>
    <t>KSส่วนตัว (โกตาต้า)</t>
  </si>
  <si>
    <t>เรือรวมอวนลาก</t>
  </si>
  <si>
    <t>พี่เบิ้ลส่วนตัว</t>
  </si>
  <si>
    <t>นำเงินเข้าบัญชี</t>
  </si>
  <si>
    <t>BBL 966-1</t>
  </si>
  <si>
    <t>ค่าผ่านแพกิจไพศาล</t>
  </si>
  <si>
    <t>APS-7</t>
  </si>
  <si>
    <t>KPS-ท่าเรือเขานางหงส์</t>
  </si>
  <si>
    <t>M-SHOP</t>
  </si>
  <si>
    <t>โกซาฮุ่ยส่วนตัว</t>
  </si>
  <si>
    <t>UTKเรือรวม</t>
  </si>
  <si>
    <t>U Kyaw Kyaw-ส่วนตัว</t>
  </si>
  <si>
    <t>TK-โรงกลึง</t>
  </si>
  <si>
    <t>ICE KAWTHUANG</t>
  </si>
  <si>
    <t>โรงงานมะริด</t>
  </si>
  <si>
    <t>YNTZ CPAC</t>
  </si>
  <si>
    <t>Exp M-SHOP</t>
  </si>
  <si>
    <t>รับค่าผ่านแพ ค่าเครน + ค่าด่านชั่ง - เงินเดือนท่าเรือ</t>
  </si>
  <si>
    <t>เรือภายใน</t>
  </si>
  <si>
    <t>Exp KPS</t>
  </si>
  <si>
    <t>สำรองทิพย์</t>
  </si>
  <si>
    <t>Ko Than Win(z)</t>
  </si>
  <si>
    <t>อวนดำ</t>
  </si>
  <si>
    <t>MIN OO บ/ช.รวมค่าทัวร์อวนดำ</t>
  </si>
  <si>
    <t>UTK-63</t>
  </si>
  <si>
    <t>ค่าปลาฝากขาย*วัช</t>
  </si>
  <si>
    <t>UTK-54</t>
  </si>
  <si>
    <t>UTK-27</t>
  </si>
  <si>
    <t>สำรองโกจุ่ง</t>
  </si>
  <si>
    <t>HHT-19</t>
  </si>
  <si>
    <t>HHT-15</t>
  </si>
  <si>
    <t>BBL 1678-1</t>
  </si>
  <si>
    <t>HHT-12</t>
  </si>
  <si>
    <t>ค่าทัวร์อวนดำ</t>
  </si>
  <si>
    <t>ค่าปลาเรือนอก</t>
  </si>
  <si>
    <t>โกเซ็ก</t>
  </si>
  <si>
    <t>ยอดคงเหลือสุทธิ</t>
  </si>
  <si>
    <t>ย้อล่วย</t>
  </si>
  <si>
    <r>
      <t xml:space="preserve">   </t>
    </r>
    <r>
      <rPr>
        <u/>
        <sz val="16"/>
        <rFont val="CordiaUPC"/>
        <family val="2"/>
      </rPr>
      <t>หัก</t>
    </r>
    <r>
      <rPr>
        <sz val="16"/>
        <rFont val="CordiaUPC"/>
        <family val="2"/>
      </rPr>
      <t xml:space="preserve">         รายการเบิก</t>
    </r>
  </si>
  <si>
    <t>ยอดยกไป</t>
  </si>
  <si>
    <t>ช่างเพชร*ขายปลา</t>
  </si>
  <si>
    <r>
      <rPr>
        <u/>
        <sz val="16"/>
        <rFont val="CordiaUPC"/>
        <family val="2"/>
      </rPr>
      <t>บวก</t>
    </r>
    <r>
      <rPr>
        <sz val="16"/>
        <rFont val="CordiaUPC"/>
        <family val="2"/>
      </rPr>
      <t xml:space="preserve">  นำเงินเข้าบัญชี</t>
    </r>
  </si>
  <si>
    <t>แพโกศิษย์-ขายปลา</t>
  </si>
  <si>
    <t>ยอดยกมาจาก ก.พ.69</t>
  </si>
  <si>
    <t>U SOE THEIN</t>
  </si>
  <si>
    <t>TS</t>
  </si>
  <si>
    <t>รวมรายการโอนMbanking</t>
  </si>
  <si>
    <t>TTL-59</t>
  </si>
  <si>
    <t>LB</t>
  </si>
  <si>
    <t>KWB-Exp</t>
  </si>
  <si>
    <t>UTK กองทุนเรือ</t>
  </si>
  <si>
    <t>P-pay</t>
  </si>
  <si>
    <t>ออมสิน</t>
  </si>
  <si>
    <t>ยอดยกมา</t>
  </si>
  <si>
    <t>ยกมา</t>
  </si>
  <si>
    <t>DATA</t>
  </si>
  <si>
    <t>ยอดเงิน</t>
  </si>
  <si>
    <t>รายการเบิกM-banking</t>
  </si>
  <si>
    <t>หมายเหตุ</t>
  </si>
  <si>
    <t>คงเหลือ</t>
  </si>
  <si>
    <t>BY</t>
  </si>
  <si>
    <t>ชื่อบัญชี</t>
  </si>
  <si>
    <t>A/Cย่อย</t>
  </si>
  <si>
    <t>วันที่</t>
  </si>
  <si>
    <t>Pst</t>
  </si>
  <si>
    <t>Voucher</t>
  </si>
  <si>
    <t>รายการโอน Bualuang Mbanking</t>
  </si>
  <si>
    <t>รอโกจุ่งแจ้งเลขที่บัญชีมาใหม่คะ</t>
  </si>
  <si>
    <t>รายเดือนปราบปรามภาค8 11/68 - 4/69</t>
  </si>
  <si>
    <t>ประจำเดือน พฤษภาคม 2569 (5/2026)</t>
  </si>
  <si>
    <t>ป้ายชื่อแถว</t>
  </si>
  <si>
    <t>ผลรวม ของ จ่าย</t>
  </si>
  <si>
    <t>M69-05-001</t>
  </si>
  <si>
    <t>โอนเงินให้มะโถ้ย 5.)</t>
  </si>
  <si>
    <t>คานเรือโกตา</t>
  </si>
  <si>
    <t>EXP C-PAC</t>
  </si>
  <si>
    <t>M69-05-002</t>
  </si>
  <si>
    <r>
      <t xml:space="preserve">ให้จี้เกี่ยใช้ 5.) </t>
    </r>
    <r>
      <rPr>
        <b/>
        <sz val="14"/>
        <color theme="5" tint="-0.249977111117893"/>
        <rFont val="CordiaUPC"/>
        <family val="2"/>
      </rPr>
      <t>(ปิดอ่าว#2)</t>
    </r>
  </si>
  <si>
    <t>M69-05-003</t>
  </si>
  <si>
    <t>เงินเดือนโกเจี้ยวและครอบครัว 5.)</t>
  </si>
  <si>
    <t>HHT ICE-3</t>
  </si>
  <si>
    <t>HHT ICE</t>
  </si>
  <si>
    <t>M69-05-004</t>
  </si>
  <si>
    <t>รายเดือนครอบครัวโกช่อง 5.)</t>
  </si>
  <si>
    <t>M69-05-005</t>
  </si>
  <si>
    <t>รายเดือนสรรพสามิต 5.)</t>
  </si>
  <si>
    <t>แพกลุ่มเกษตร</t>
  </si>
  <si>
    <t>M69-05-006</t>
  </si>
  <si>
    <t>เงินเดือนน้องอร(ชมรมแพปลา) 4.)</t>
  </si>
  <si>
    <t>โกโรจน์(ถัง)</t>
  </si>
  <si>
    <t>YNTZ ICE</t>
  </si>
  <si>
    <t>M69-05-007</t>
  </si>
  <si>
    <t>โอนเงิน (โกหย่งแจ้งให้โอน)</t>
  </si>
  <si>
    <t>ICE KAWTHAUNG</t>
  </si>
  <si>
    <t>M69-05-008</t>
  </si>
  <si>
    <t>ค่ารถและค่าไกด์ (โกหย่งแจ้งให้โอน)</t>
  </si>
  <si>
    <t>เรือปั่นไฟ HHT-12</t>
  </si>
  <si>
    <t>รถน้ำ</t>
  </si>
  <si>
    <t>M69-05-009</t>
  </si>
  <si>
    <t>ค่าน้ำจืด 4.) (128คันx140 )</t>
  </si>
  <si>
    <t>M69-05-010</t>
  </si>
  <si>
    <t>ค่าน้ำจืด 4.) (48คันx150 )</t>
  </si>
  <si>
    <t>M69-05-011</t>
  </si>
  <si>
    <t>ค่าโทรศัพท์AIS 4.)</t>
  </si>
  <si>
    <t>YNTZ CONCRETE ทำงาน</t>
  </si>
  <si>
    <t>M69-05-012</t>
  </si>
  <si>
    <r>
      <t xml:space="preserve">ค่าบรรทุกปลาป่นRGT#15/25-26 WTK (14คัน)(หักW/Tax 1,330.-) </t>
    </r>
    <r>
      <rPr>
        <sz val="14"/>
        <color rgb="FFFF0000"/>
        <rFont val="CordiaUPC"/>
        <family val="2"/>
      </rPr>
      <t>รอบที่ 1</t>
    </r>
  </si>
  <si>
    <t>M69-05-013</t>
  </si>
  <si>
    <t>ค่าเช่าธนสาร2/ใต้โต๊ะ/ตม. 4.)</t>
  </si>
  <si>
    <t>MV.001</t>
  </si>
  <si>
    <t>M69-05-014</t>
  </si>
  <si>
    <t>ค่าของ 3.) (บ้านโกต้ง)</t>
  </si>
  <si>
    <t>M69-05-015</t>
  </si>
  <si>
    <t>ลวดเชื่อม</t>
  </si>
  <si>
    <t>M69-05-016</t>
  </si>
  <si>
    <t>มัดจำ50% หน้าต่าง,ลูกบิด,ยางฟองน้ำ</t>
  </si>
  <si>
    <t>M69-05-017</t>
  </si>
  <si>
    <t>ทางแยกน้ำทองเหลือง(5ชิ้น)</t>
  </si>
  <si>
    <t>M69-05-018</t>
  </si>
  <si>
    <t>ตะปูตะกั่ว 40กก.</t>
  </si>
  <si>
    <t>U SOE THEIN (YST)</t>
  </si>
  <si>
    <t>M69-05-019</t>
  </si>
  <si>
    <t>ค่าวิเคราะห์ปลาป่น #15/25-26 WTK (54x710.-)</t>
  </si>
  <si>
    <t>UTK เรือรวม</t>
  </si>
  <si>
    <t>M69-05-020</t>
  </si>
  <si>
    <r>
      <t xml:space="preserve">ค่าบรรทุกปลาป่นRGT#15/25-26 WTK (8คัน)(หักW/Tax 760.-) </t>
    </r>
    <r>
      <rPr>
        <sz val="14"/>
        <color rgb="FFFF0000"/>
        <rFont val="CordiaUPC"/>
        <family val="2"/>
      </rPr>
      <t>รอบที่ 2</t>
    </r>
  </si>
  <si>
    <t>YNTZ C-PAC</t>
  </si>
  <si>
    <t>M69-05-021</t>
  </si>
  <si>
    <t>ค่าบรรทุกปลาป่นRGT#15/25-26 WTK (6คัน)(หักW/Tax 570.-)</t>
  </si>
  <si>
    <t>M69-05-022</t>
  </si>
  <si>
    <t>ค่าบรรทุกปลาป่นRGT#15/25-26 WTK (4คัน)(หักW/Tax 380.-)</t>
  </si>
  <si>
    <t>M69-05-023</t>
  </si>
  <si>
    <t>M69-05-024</t>
  </si>
  <si>
    <t>M69-05-025</t>
  </si>
  <si>
    <t>ค่าบรรทุกปลาป่นRGT#15/25-26 WTK (2คัน)(หักW/Tax 190.-)</t>
  </si>
  <si>
    <t>M69-05-026</t>
  </si>
  <si>
    <t>M69-05-027</t>
  </si>
  <si>
    <t>M69-05-028</t>
  </si>
  <si>
    <t>M69-05-029</t>
  </si>
  <si>
    <t>M69-05-030</t>
  </si>
  <si>
    <t>035/1738</t>
  </si>
  <si>
    <t>HHT-S</t>
  </si>
  <si>
    <t>รับค่าของ</t>
  </si>
  <si>
    <t>M69-05-031</t>
  </si>
  <si>
    <t>ค่าของ 4.) (อาหารไก่, ตาข่ายกรองแสง,สปริงฯ)</t>
  </si>
  <si>
    <t>M69-05-032</t>
  </si>
  <si>
    <t>M69-05-033</t>
  </si>
  <si>
    <t>ค่าซ่อมและค่าอะไหล่,เงินทุนค่าอะไหล่ฯ 4.)</t>
  </si>
  <si>
    <t>M69-05-034</t>
  </si>
  <si>
    <t>น้ำยาโฟม 5,053กก.</t>
  </si>
  <si>
    <t>M69-05-035</t>
  </si>
  <si>
    <t>ค่าซ่อมช่วงล่าง บง6505</t>
  </si>
  <si>
    <t>M69-05-036</t>
  </si>
  <si>
    <t>ค่าแรงและค่าของซ่อมบันไดฯ 80-5271</t>
  </si>
  <si>
    <t>M69-05-037</t>
  </si>
  <si>
    <t>เบิกเงินสดย่อย</t>
  </si>
  <si>
    <t>M69-05-038</t>
  </si>
  <si>
    <t>ค่าแรงซ่อมสปีดคอนโทรล+ค่าเรือ</t>
  </si>
  <si>
    <t>M69-05-039</t>
  </si>
  <si>
    <t>ค่าน้ำแข็งดองปลา 4.)</t>
  </si>
  <si>
    <t>M69-05-040</t>
  </si>
  <si>
    <t>ค่าน้ำแข็ง 4.) (30ซองx100) (วาสนาอดิศร)</t>
  </si>
  <si>
    <t>M69-05-041</t>
  </si>
  <si>
    <t>ค่าเครื่องดื่ม 4.)</t>
  </si>
  <si>
    <t>M69-05-042</t>
  </si>
  <si>
    <t>ค่าซ่อมรถ 4.)</t>
  </si>
  <si>
    <t>M69-05-043</t>
  </si>
  <si>
    <t>ค่าบรรทุกของ 4.)</t>
  </si>
  <si>
    <t>M69-05-044</t>
  </si>
  <si>
    <t>ค่าแรง 4.)</t>
  </si>
  <si>
    <t>M69-05-045</t>
  </si>
  <si>
    <t>ค่าวัสดุและอุปกรณ์อื่นๆ 4.)</t>
  </si>
  <si>
    <t>M69-05-046</t>
  </si>
  <si>
    <t>ค่าแรงและค่าของ 4.)</t>
  </si>
  <si>
    <t>M69-05-047</t>
  </si>
  <si>
    <t>ค่าน้ำมันดีเซล 4.) (รถน้ำ)</t>
  </si>
  <si>
    <t>M69-05-048</t>
  </si>
  <si>
    <t>M69-05-049</t>
  </si>
  <si>
    <t xml:space="preserve">ค่าของ 4.) </t>
  </si>
  <si>
    <t>M69-05-050</t>
  </si>
  <si>
    <t xml:space="preserve">ค่าของ 3.) - 4.) </t>
  </si>
  <si>
    <t>M69-05-051</t>
  </si>
  <si>
    <t>ค่าอะไหล่ซ่อมรถ 4.)</t>
  </si>
  <si>
    <t>M69-05-052</t>
  </si>
  <si>
    <t>ค่าของ 4.)</t>
  </si>
  <si>
    <t>M69-05-053</t>
  </si>
  <si>
    <t>ค่าเหล็ก 2.) (เขานายัง)</t>
  </si>
  <si>
    <t>M69-05-054</t>
  </si>
  <si>
    <t>รับรองแขก (โกหย่งแจ้งให้โอนคะ)</t>
  </si>
  <si>
    <t>035/1743</t>
  </si>
  <si>
    <t xml:space="preserve"> - กรรมกรแทงปลาป่น - ค่าใช้จ่าย - สำรองจ่ายโกต้ง 4.)</t>
  </si>
  <si>
    <t>M69-05-055</t>
  </si>
  <si>
    <t>ค่าคอนกรีต 4.)</t>
  </si>
  <si>
    <t>ค่าคอนกรีต 4.) (กรีนรีไซเคิล)</t>
  </si>
  <si>
    <t>M69-05-056</t>
  </si>
  <si>
    <t>ค่าของ 4.) (ทราย,ไม้กวาดทางมะพร้าว)</t>
  </si>
  <si>
    <t>M69-05-057</t>
  </si>
  <si>
    <t>ค่าของ 4.) (เหล็ก(กล่อง+ข้ออ้อย+เส้น),ปั้มMITSU,ท่อPVC,สีฯ)</t>
  </si>
  <si>
    <t>M69-05-058</t>
  </si>
  <si>
    <t xml:space="preserve">ส่วนต่างค่าอวนดำ </t>
  </si>
  <si>
    <t>M69-05-059</t>
  </si>
  <si>
    <t>สายยก 2เส้น</t>
  </si>
  <si>
    <t>เหล็กแผ่น, เหล็กฉาก, ลวดเชื่อม</t>
  </si>
  <si>
    <t>ผลรวมทั้งหมด</t>
  </si>
  <si>
    <t>M69-05-060</t>
  </si>
  <si>
    <t>สีJOTUN, ทินเนอร์</t>
  </si>
  <si>
    <t>M69-05-061</t>
  </si>
  <si>
    <t>พลาสติกใสปูพื้น 20 ม้วน</t>
  </si>
  <si>
    <t>บันไดอลูมิเนียม 8 ฟุต 1 ชิ้น</t>
  </si>
  <si>
    <t>M69-05-062</t>
  </si>
  <si>
    <t>กาวาเนอร์คอนโทรล</t>
  </si>
  <si>
    <t>M69-05-063</t>
  </si>
  <si>
    <t>เบิกค่าใช้จ่าย 4.)</t>
  </si>
  <si>
    <t>M69-05-064</t>
  </si>
  <si>
    <t>M69-05-065</t>
  </si>
  <si>
    <t>M69-05-066</t>
  </si>
  <si>
    <t>เงินเดือนช่างรวม (1-15/5/2026)</t>
  </si>
  <si>
    <t>M69-05-067</t>
  </si>
  <si>
    <t>สังกะสีกันกร่อน 150ก้อน</t>
  </si>
  <si>
    <t>M69-05-068</t>
  </si>
  <si>
    <t>กิ๊บดึงลวด</t>
  </si>
  <si>
    <t>M69-05-069</t>
  </si>
  <si>
    <t>ถัง200Lit (162ใบx3,300.-)</t>
  </si>
  <si>
    <t>M69-05-070</t>
  </si>
  <si>
    <t>ค่าปลา 3.)-4.) (ผู้ว่าฯ, ผู้การฯ)</t>
  </si>
  <si>
    <t>M69-05-071</t>
  </si>
  <si>
    <t>ค่าแรงซ่อมเรือPT-1 (หักเบิกเงินสด 30,000)</t>
  </si>
  <si>
    <t>M69-05-072</t>
  </si>
  <si>
    <t>ค่าภาษี,ค่าจัดการ,ธรรมเนียม,บริการ (80-5479)</t>
  </si>
  <si>
    <t>M69-05-073</t>
  </si>
  <si>
    <t>ภาษีที่ดินและสิ่งปลูกสร้าง ปี 2569(บ้านซ.นกเขา)</t>
  </si>
  <si>
    <t>M69-05-074</t>
  </si>
  <si>
    <t>M69-05-075</t>
  </si>
  <si>
    <t>โอนเงิน  (จี้แดง) (19/5)</t>
  </si>
  <si>
    <t>M69-05-076</t>
  </si>
  <si>
    <t>ต่อเติมบ้านชาญอิสระ งวดที่1</t>
  </si>
  <si>
    <t>M69-05-077</t>
  </si>
  <si>
    <t>ส่วนต่างเชือกใยยักษ์,อวนไนล่อน</t>
  </si>
  <si>
    <t>M69-05-078</t>
  </si>
  <si>
    <t>อะไหล่รอก</t>
  </si>
  <si>
    <t>M69-05-079</t>
  </si>
  <si>
    <t>บอลวาล์วหน้าแปลนสแตนเลส</t>
  </si>
  <si>
    <t>M69-05-080</t>
  </si>
  <si>
    <t>M69-05-081</t>
  </si>
  <si>
    <t>โวลีน AWE ไฮโดรลิค ออยล์</t>
  </si>
  <si>
    <t>M69-05-082</t>
  </si>
  <si>
    <t>หลอดไฟ,ขั้วกันน้ำ ฯ</t>
  </si>
  <si>
    <t>M69-05-083</t>
  </si>
  <si>
    <t>แป๊ป, เพลา</t>
  </si>
  <si>
    <t>M69-05-084</t>
  </si>
  <si>
    <t>M69-05-085</t>
  </si>
  <si>
    <t>ติดตั้งเสา,เชื่อมหลังคา,มุงหลังคา (กรีนรีไซเคิล)</t>
  </si>
  <si>
    <t>M69-05-086</t>
  </si>
  <si>
    <t>บัวพื้นล่าง,ลูกบิดก้านโยก,นิปปอน (เขานายัง)</t>
  </si>
  <si>
    <t>M69-05-087</t>
  </si>
  <si>
    <t>ค่าเรือPT1ขึ้นคานซ่อม</t>
  </si>
  <si>
    <t>M69-05-088</t>
  </si>
  <si>
    <t>ค่าซ่อมเรือPT1</t>
  </si>
  <si>
    <t>M69-05-089</t>
  </si>
  <si>
    <t xml:space="preserve">ถังสแตนเลส 12,000ลิตร </t>
  </si>
  <si>
    <t>M69-05-090</t>
  </si>
  <si>
    <t>ค่าแรงต่อเรืองวดที่1 (LB-9, LB-10)</t>
  </si>
  <si>
    <t>M69-05-091</t>
  </si>
  <si>
    <t>เบิกเงินล่วงหน้า(โกเจี้ยวรับทราบ)</t>
  </si>
  <si>
    <t>M69-05-092</t>
  </si>
  <si>
    <t>น้ำกรดเติมแบตเตอรี่,ถังน้ำกรด</t>
  </si>
  <si>
    <t>M69-05-093</t>
  </si>
  <si>
    <t>สีเสน 3ถุง</t>
  </si>
  <si>
    <t>M69-05-094</t>
  </si>
  <si>
    <t>Breaker Panasonic, ปลั๊กเสียบ</t>
  </si>
  <si>
    <t>M69-05-095</t>
  </si>
  <si>
    <t>ชันฝรั่งปะการัง 540ชุด</t>
  </si>
  <si>
    <t>M69-05-096</t>
  </si>
  <si>
    <t>ให้โกเหน่งใช้ 5.)</t>
  </si>
  <si>
    <t>M69-05-097</t>
  </si>
  <si>
    <t>ค่าอินเตอร์เน็ต RGT 4.)</t>
  </si>
  <si>
    <t>035/1750</t>
  </si>
  <si>
    <t>ก้อง</t>
  </si>
  <si>
    <t>คืนเงินยืม</t>
  </si>
  <si>
    <t>M69-05-098</t>
  </si>
  <si>
    <t>ค่าบริการGPS(20/6/26-19/6/27) 80-4293</t>
  </si>
  <si>
    <t>036/1751</t>
  </si>
  <si>
    <t>ช่างเพชร-ขายปลา</t>
  </si>
  <si>
    <t>รับเงินค่าใช้จ่าย 4.)</t>
  </si>
  <si>
    <t>M69-05-099</t>
  </si>
  <si>
    <t>สนับสนุนสร้างห้องน้ำที่ศาลหลักเมืองจ.ระนอง(ผู้ว่าฯขอมา)</t>
  </si>
  <si>
    <t>M69-05-100</t>
  </si>
  <si>
    <t>ค่าภาษี,ค่าจัดการ,ธรรมเนียม,ค่าบริการ (80-5144)</t>
  </si>
  <si>
    <t>ค่าภาษี,ค่าจัดการ,พรบ,ธรรมเนียม,ค่าบริการ (80-4293)</t>
  </si>
  <si>
    <t>M69-05-101</t>
  </si>
  <si>
    <t>CI (WORK + VISA + บัตรสุขภาพ ) (ลูกน้องในสวน)</t>
  </si>
  <si>
    <t>M69-05-102</t>
  </si>
  <si>
    <t>เงินเดือนคนขับรถ 5.)</t>
  </si>
  <si>
    <t>M69-05-103</t>
  </si>
  <si>
    <t xml:space="preserve">เงินเดือนพี่เบิ้ล 5.) </t>
  </si>
  <si>
    <t>M69-05-104</t>
  </si>
  <si>
    <t>ผ้าใบเต็นท์สีฟ้า 5ม.x10ม.(@ครัวพฤกษา)</t>
  </si>
  <si>
    <t>M69-05-105</t>
  </si>
  <si>
    <t>ค่าทำบัญชี,ปกส.,ภาษี,กยศ. 3.), กองทุนทดแทน68</t>
  </si>
  <si>
    <t>ยื่นปรับปรุงคิด%เงินบริจาคเกิน2566,UPS+เม้าท์</t>
  </si>
  <si>
    <t>M69-05-106</t>
  </si>
  <si>
    <t>ค่าทำบัญชี,ปกส.,ภาษี,กยศ. 4.)</t>
  </si>
  <si>
    <t>M69-05-107</t>
  </si>
  <si>
    <t>โคมไฟมินิ 12ตัว</t>
  </si>
  <si>
    <t>M69-05-108</t>
  </si>
  <si>
    <t>หม้อน้ำ 1 ชุด</t>
  </si>
  <si>
    <t>M69-05-109</t>
  </si>
  <si>
    <t>น้ำกลั่นบริสุทธิ์ 50 โหล</t>
  </si>
  <si>
    <t>M69-05-110</t>
  </si>
  <si>
    <t>เงินเดือนช่างรวม (16-31/5/2026)</t>
  </si>
  <si>
    <t>M69-05-111</t>
  </si>
  <si>
    <t>ค่าจัดการปลาป่น#16/25-26 PH (54คันx500)</t>
  </si>
  <si>
    <t>M69-05-112</t>
  </si>
  <si>
    <t>เครื่องยนต์ HINO</t>
  </si>
  <si>
    <t>M69-05-113</t>
  </si>
  <si>
    <t>เบี้ยประกันอัคคีภัย เพื่อค้ำวงเงินO.D.(ที่ดิน KPS-คอนกรีต)</t>
  </si>
  <si>
    <t>M69-05-114</t>
  </si>
  <si>
    <t>เงินเดือนโกเจี้ยว 5.)</t>
  </si>
  <si>
    <t>M69-05-115</t>
  </si>
  <si>
    <t>เงินเดือนพี่เส็ง 5.)</t>
  </si>
  <si>
    <t>M69-05-116</t>
  </si>
  <si>
    <t>เงินเดือน ELDA 5.)</t>
  </si>
  <si>
    <t>M69-05-117</t>
  </si>
  <si>
    <t>เงินเดือนโกวอม 5.)</t>
  </si>
  <si>
    <t>M69-05-118</t>
  </si>
  <si>
    <t>รายเดือนจนท.เขตด่าน,ปป.ทะเล,ตม. 5.)</t>
  </si>
  <si>
    <t>M69-05-119</t>
  </si>
  <si>
    <t>รายเดือนผู้การปริญญา</t>
  </si>
  <si>
    <t>M69-05-120</t>
  </si>
  <si>
    <t>ค่าโทรศัพท์TOT 5.) 077-816207=107.- /077-816209=107.-</t>
  </si>
  <si>
    <t>M69-05-121</t>
  </si>
  <si>
    <t>ค่าแรงและค่าของ 4.) - 5.)</t>
  </si>
  <si>
    <t>M69-05-122</t>
  </si>
  <si>
    <t>เงินเดือน OFF มะริด 5.) (KS 7,455,208÷131)</t>
  </si>
  <si>
    <t>M69-05-123</t>
  </si>
  <si>
    <t>มาม่า 25 ลัง</t>
  </si>
  <si>
    <t>M69-05-124</t>
  </si>
  <si>
    <t>เงินเดือนผู้การ และ ค่าอาหารผู้การ 6.)</t>
  </si>
  <si>
    <t xml:space="preserve">  RGT</t>
  </si>
  <si>
    <t>M.Banking</t>
  </si>
  <si>
    <t>ใบสำคัญจ่าย / PAYMENT VOUCHER</t>
  </si>
  <si>
    <t xml:space="preserve">             </t>
  </si>
  <si>
    <t>เลขที่  No.</t>
  </si>
  <si>
    <t>โกเจี้ยวและครอบครัว</t>
  </si>
  <si>
    <t>วันที่ Date</t>
  </si>
  <si>
    <t>Paid To</t>
  </si>
  <si>
    <t>จำนวนเงิน</t>
  </si>
  <si>
    <t>ธนาคาร</t>
  </si>
  <si>
    <t>/</t>
  </si>
  <si>
    <t>Amount</t>
  </si>
  <si>
    <t>Bank</t>
  </si>
  <si>
    <t>รหัสบัญชี</t>
  </si>
  <si>
    <t>รายการ</t>
  </si>
  <si>
    <t>จำนวนเงิน(บาท)</t>
  </si>
  <si>
    <t>A/C No.</t>
  </si>
  <si>
    <t>A/C</t>
  </si>
  <si>
    <t>Particulars</t>
  </si>
  <si>
    <t>Total Amount</t>
  </si>
  <si>
    <t>จำนวนเงินเป็นตัวอักษร</t>
  </si>
  <si>
    <t>Amount in words</t>
  </si>
  <si>
    <t>ผู้อนุมัติ</t>
  </si>
  <si>
    <t xml:space="preserve">ผู้จัดทำ </t>
  </si>
  <si>
    <t>GIFE</t>
  </si>
  <si>
    <t>ผู้ตรวจสอบ</t>
  </si>
  <si>
    <t>ผู้รับเงิน</t>
  </si>
  <si>
    <t>Authorized By</t>
  </si>
  <si>
    <t>Prepared By</t>
  </si>
  <si>
    <t>Checked By</t>
  </si>
  <si>
    <t>Received By</t>
  </si>
  <si>
    <t>Date</t>
  </si>
  <si>
    <t>รายการโอนรายวัน Bualuang Mbanking</t>
  </si>
  <si>
    <t>แผนก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</si>
  <si>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</si>
  <si>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</si>
  <si>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</si>
  <si>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</si>
  <si>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</si>
  <si>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</si>
  <si>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</si>
  <si>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</si>
  <si>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</si>
  <si>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</si>
  <si>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</si>
  <si>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</si>
  <si>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% HHT-14</t>
  </si>
  <si>
    <t>A-10</t>
  </si>
  <si>
    <t>A-12</t>
  </si>
  <si>
    <t>A-18</t>
  </si>
  <si>
    <t>ABC ขายปลาอวนดำ</t>
  </si>
  <si>
    <t>ACT.18</t>
  </si>
  <si>
    <t>B-5</t>
  </si>
  <si>
    <t>BBL 1326-7</t>
  </si>
  <si>
    <t>BBL 1337-4 (KPS)</t>
  </si>
  <si>
    <t>BBL 15850-3 (T&amp;Y)</t>
  </si>
  <si>
    <t>BBL 4241-4</t>
  </si>
  <si>
    <t>BBL 45002-5(FIX11M.)</t>
  </si>
  <si>
    <t>BBL 7118-3(K.อดิศักดิ์)</t>
  </si>
  <si>
    <t>BBL 9250-4(K.อดิศักดิ์&amp;K.ธนู)</t>
  </si>
  <si>
    <t>CD ส่วนตัว</t>
  </si>
  <si>
    <t>CEMENT SHOP</t>
  </si>
  <si>
    <t>CF</t>
  </si>
  <si>
    <t>CH-96</t>
  </si>
  <si>
    <t>CH-Loan</t>
  </si>
  <si>
    <t>D.N.</t>
  </si>
  <si>
    <t>DAW YU ส่วนตัว</t>
  </si>
  <si>
    <t>D-SHOP</t>
  </si>
  <si>
    <t>Exp RGT</t>
  </si>
  <si>
    <t>Exp T&amp;Y</t>
  </si>
  <si>
    <t>Exp RN</t>
  </si>
  <si>
    <t>Exp VN</t>
  </si>
  <si>
    <t>EXP VN-14</t>
  </si>
  <si>
    <t>Exp แพออ</t>
  </si>
  <si>
    <t>Fish Market Fee King Star(โกคุ้ยแหง่)</t>
  </si>
  <si>
    <t>HHT-ICE</t>
  </si>
  <si>
    <t>HHT IMP-EXP(A- BANK)</t>
  </si>
  <si>
    <t>HHT IMP-EXP(AYA- BANK)</t>
  </si>
  <si>
    <t>HHT IMP-EXP(MM APEX- BANK)</t>
  </si>
  <si>
    <t>HHT IMP-EXP(YOMA- BANK)</t>
  </si>
  <si>
    <t>HHT-11</t>
  </si>
  <si>
    <t>HHT-14</t>
  </si>
  <si>
    <t>HHT-16</t>
  </si>
  <si>
    <t>HHT-17</t>
  </si>
  <si>
    <t>HHT-5</t>
  </si>
  <si>
    <t>HHT-8</t>
  </si>
  <si>
    <t>JCS MACLANIC</t>
  </si>
  <si>
    <t>JETTY PPT</t>
  </si>
  <si>
    <t>JETTY SM</t>
  </si>
  <si>
    <t>K 1024-5 (KPS)</t>
  </si>
  <si>
    <t>K 2981-1</t>
  </si>
  <si>
    <t>K 3138-2 (T&amp;Y)</t>
  </si>
  <si>
    <t>K 3395-9 (KPS)</t>
  </si>
  <si>
    <t>K 675-3</t>
  </si>
  <si>
    <t>K 8311-5(K.อดิศักดิ์&amp;K.กิตติพงษ์)</t>
  </si>
  <si>
    <t>KF-1</t>
  </si>
  <si>
    <t>KLS-ค่าทัวร์อวนลาก</t>
  </si>
  <si>
    <t>Ko Aung Myo</t>
  </si>
  <si>
    <t>Ko Latt</t>
  </si>
  <si>
    <t>Ko Soe Wee*Salary</t>
  </si>
  <si>
    <t>KOH LUKKY</t>
  </si>
  <si>
    <t>KPS-คอนกรีต</t>
  </si>
  <si>
    <t>KPS-สตีล</t>
  </si>
  <si>
    <t>KS204</t>
  </si>
  <si>
    <t>KS207</t>
  </si>
  <si>
    <t>LB-14</t>
  </si>
  <si>
    <t>Lucky-UTK</t>
  </si>
  <si>
    <t>LYA-METAL SHEET</t>
  </si>
  <si>
    <t>Maung Maung Aung - Diesel</t>
  </si>
  <si>
    <t>MIN OO(ค่าของ)</t>
  </si>
  <si>
    <t>MIN OO(รวม)</t>
  </si>
  <si>
    <t>Mr.Decha/Engineer(ช่างเพชร)</t>
  </si>
  <si>
    <t>M-SHOP ค่าของ</t>
  </si>
  <si>
    <t>M-Tools</t>
  </si>
  <si>
    <t>MV.THA MIE HLA</t>
  </si>
  <si>
    <t>ND-1</t>
  </si>
  <si>
    <t>ND-5</t>
  </si>
  <si>
    <t>New Boat HHT-20</t>
  </si>
  <si>
    <t>New Boat HHT-999</t>
  </si>
  <si>
    <t>New Boat KN.22</t>
  </si>
  <si>
    <t>New Boat LB-6</t>
  </si>
  <si>
    <t>New Boat Min Oo-5</t>
  </si>
  <si>
    <t>New Boat โกต้งเรือน้ำมัน</t>
  </si>
  <si>
    <t>New Boat เรือน้ำมันบริษัท</t>
  </si>
  <si>
    <t>NZY-ค่าทัวร์</t>
  </si>
  <si>
    <t>PSP</t>
  </si>
  <si>
    <t>PVC-5</t>
  </si>
  <si>
    <t>RGT-KWB(Account Summary)</t>
  </si>
  <si>
    <t>SCG</t>
  </si>
  <si>
    <t>SM-FISHMEAL</t>
  </si>
  <si>
    <t>SM-เครื่องจักรFM</t>
  </si>
  <si>
    <t>STW</t>
  </si>
  <si>
    <t>SWT</t>
  </si>
  <si>
    <t>TAX 1.25%</t>
  </si>
  <si>
    <t>THIDA ICE FACTORY</t>
  </si>
  <si>
    <t>TK-ICE (MYEIK)</t>
  </si>
  <si>
    <t>TTB 12260-5(RN)</t>
  </si>
  <si>
    <t>TTB 4323-7(Saving)</t>
  </si>
  <si>
    <t>U GYI NU</t>
  </si>
  <si>
    <t>U HLA THAN</t>
  </si>
  <si>
    <t>U Kyaw Kyaw Resort</t>
  </si>
  <si>
    <t>U Kyaw Kyaw-นากุ้ง</t>
  </si>
  <si>
    <t>U SAN WIN</t>
  </si>
  <si>
    <t>U THET LWIN</t>
  </si>
  <si>
    <t>U YE NING</t>
  </si>
  <si>
    <t>UTK DIESEL</t>
  </si>
  <si>
    <t>V-65</t>
  </si>
  <si>
    <t>VN-14</t>
  </si>
  <si>
    <t>VN-ส่วนตัว</t>
  </si>
  <si>
    <t>WPL</t>
  </si>
  <si>
    <t>WTK</t>
  </si>
  <si>
    <t>WTN GROUP</t>
  </si>
  <si>
    <t>WWT (ไต๋CH-92)</t>
  </si>
  <si>
    <t>Y(ปันผลท่าเรือฯ)</t>
  </si>
  <si>
    <t>Y-17</t>
  </si>
  <si>
    <t>Y-20</t>
  </si>
  <si>
    <t>Y2K-12</t>
  </si>
  <si>
    <t>Y-7</t>
  </si>
  <si>
    <t>YNTZ DOCK ทำงาน</t>
  </si>
  <si>
    <t>YNTZ HOMRMART</t>
  </si>
  <si>
    <t>YNTZ JETTY</t>
  </si>
  <si>
    <t>YNTZ TUGBOAT</t>
  </si>
  <si>
    <t>YNTZ-1</t>
  </si>
  <si>
    <t>YNTZ-10</t>
  </si>
  <si>
    <t>YNTZ-15</t>
  </si>
  <si>
    <t>YNTZ-2</t>
  </si>
  <si>
    <t>YNTZ-20</t>
  </si>
  <si>
    <t>YNTZ-22</t>
  </si>
  <si>
    <t>YNTZ-26</t>
  </si>
  <si>
    <t>YNTZ-3</t>
  </si>
  <si>
    <t>YNTZ-31</t>
  </si>
  <si>
    <t>YNTZ-7</t>
  </si>
  <si>
    <t>กลุ่มเกษตรกรทำประมงปากน้ำระนอง</t>
  </si>
  <si>
    <t>กวาง2</t>
  </si>
  <si>
    <t>กองทุนบัวหลวง</t>
  </si>
  <si>
    <t>กองทุนรวมธนสารพลัส</t>
  </si>
  <si>
    <t>กองทุนรวมบัวหลวงธณรัฐ 9/23</t>
  </si>
  <si>
    <t>การไฟฟ้าส่วนภูมิภาค</t>
  </si>
  <si>
    <t>โกกิ้ม-รวม(ปลาไก่-น้ำแข็ง)</t>
  </si>
  <si>
    <t>โกจ่อ(ปั้นจั่น)</t>
  </si>
  <si>
    <t>โกชุ้นค่าของ</t>
  </si>
  <si>
    <t>โกชุ้น*ขายหมึก-Min Oo</t>
  </si>
  <si>
    <t>โกชุ้นค่าของ (แพเจ้หง่อ)</t>
  </si>
  <si>
    <t>โกต้ง(จระเข้)</t>
  </si>
  <si>
    <t>โกตั้ม(หนี้สงสัยจะสูญ)</t>
  </si>
  <si>
    <t>โกปัง*Ko Kyi Win</t>
  </si>
  <si>
    <t>โกฟุ้ก</t>
  </si>
  <si>
    <t>โกฟุ้ก-UTK</t>
  </si>
  <si>
    <t>โกเมียะโป่</t>
  </si>
  <si>
    <t>โกหนุ่ย (ASO)</t>
  </si>
  <si>
    <t>ค่ากว้านแพนอก(King Star)</t>
  </si>
  <si>
    <t>ค่ากว้านเรือนอก</t>
  </si>
  <si>
    <t>ค่าของคนนอก</t>
  </si>
  <si>
    <t>ค่าใช้จ่ายค้างจ่าย</t>
  </si>
  <si>
    <t>ค่าทัวร์-SWT</t>
  </si>
  <si>
    <t>ค่าทัวร์เรือนอก</t>
  </si>
  <si>
    <t>ค่าทัวร์อวนดำ(ATD-9) (เจ้ญา)</t>
  </si>
  <si>
    <t>ค่าทัวร์อวนดำ(ATO)</t>
  </si>
  <si>
    <t>ค่าทัวร์อวนดำ(ATZ)</t>
  </si>
  <si>
    <t>ค่าทัวร์อวนดำ(CMK)</t>
  </si>
  <si>
    <t>ค่าทัวร์อวนดำ(ESA-24)</t>
  </si>
  <si>
    <t>ค่าทัวร์อวนดำ(KKS-2)</t>
  </si>
  <si>
    <t>ค่าทัวร์อวนดำ(KLS-27)</t>
  </si>
  <si>
    <t>ค่าทัวร์อวนดำ(SLH-18)</t>
  </si>
  <si>
    <t>ค่าทัวร์อวนดำ(WYA)</t>
  </si>
  <si>
    <t>ค่าทัวร์อวนดำ(YDNT-11)</t>
  </si>
  <si>
    <t>ค่าทัวร์อวนดำ(ZMS-5)</t>
  </si>
  <si>
    <t>ค่าทัวร์อวนดำ(โกกิ้ม)</t>
  </si>
  <si>
    <t>ค่าทัวร์อวนดำ(โกหนุ่ย)</t>
  </si>
  <si>
    <t>ค่าทัวร์อวนดำ(เจ้ญา)</t>
  </si>
  <si>
    <t>ค่าทัวร์อวนดำ(เรือเล็ก)</t>
  </si>
  <si>
    <t>ค่าน้ำมัน (Diesel Buy)</t>
  </si>
  <si>
    <t>ค่าน้ำมันมะริด</t>
  </si>
  <si>
    <t>ค่าน้ำมันสิงคโปร์</t>
  </si>
  <si>
    <t>ค่าน้ำหมึกกระดอง LB</t>
  </si>
  <si>
    <t>ค่าปลาฝากขาย*AK-1</t>
  </si>
  <si>
    <t>ค่าปลาฝากขาย*WWT</t>
  </si>
  <si>
    <t>ค่าผ่านแพเครื่องโม่น้ำแข็ง</t>
  </si>
  <si>
    <t>คุณภสุ-ค่าของ</t>
  </si>
  <si>
    <t>คุณอนุสรณ์ฉีดโฟม</t>
  </si>
  <si>
    <t>เงินเดือนค้างจ่าย</t>
  </si>
  <si>
    <t>เงินเดือนเว้เอ้</t>
  </si>
  <si>
    <t>เงินประกันการทำงาน</t>
  </si>
  <si>
    <t>เงินรับล่วงหน้า</t>
  </si>
  <si>
    <t>เงินสดย่อย</t>
  </si>
  <si>
    <t>เงินสด</t>
  </si>
  <si>
    <t>เงินโอนมะริด ฿</t>
  </si>
  <si>
    <t>จี้หยินส่วนตัว</t>
  </si>
  <si>
    <t>จี้เอ้งจู้/Diesel</t>
  </si>
  <si>
    <t>เจ้าหนี้เงินโอน</t>
  </si>
  <si>
    <t>ดอกเบี้ยเงินฝาก(หัก ณ ที่จ่าย)</t>
  </si>
  <si>
    <t>ไต๋-HHT-11</t>
  </si>
  <si>
    <t>ไต๋-HHT-12</t>
  </si>
  <si>
    <t>ไต๋-HHT-14</t>
  </si>
  <si>
    <t>ไต๋-HHT-19</t>
  </si>
  <si>
    <t>ไต๋-อวนดำ</t>
  </si>
  <si>
    <t>ทรัพย์สินโกตั้ม</t>
  </si>
  <si>
    <t>ท่อ14" กันชน2023</t>
  </si>
  <si>
    <t>ทิพย์ร้านค้า</t>
  </si>
  <si>
    <t>ที่ดินบางนอน</t>
  </si>
  <si>
    <t>ที่ดินพรลั้งหลุมพี</t>
  </si>
  <si>
    <t>ที่ดินหลังโรงเจ</t>
  </si>
  <si>
    <t>ทุ่นน้ำมัน</t>
  </si>
  <si>
    <t>ไท้แหง่</t>
  </si>
  <si>
    <t>นวล</t>
  </si>
  <si>
    <t>นิ่ม</t>
  </si>
  <si>
    <t>แนน</t>
  </si>
  <si>
    <t>บง.2626/4517</t>
  </si>
  <si>
    <t>บจ.กังย่งเฮง</t>
  </si>
  <si>
    <t>บ่อน้ำ จิ้นเห้ง</t>
  </si>
  <si>
    <t>โบอ่าวเกาะสอง</t>
  </si>
  <si>
    <t>พี่ธงชัย / ช่างเพชร-ค่าบรรทุกปลาป่น</t>
  </si>
  <si>
    <t>พี่เส็งส่งออก</t>
  </si>
  <si>
    <t>แพขายปลาอวนดำKING STAR</t>
  </si>
  <si>
    <t>แพขายปลาอวนดำKPS</t>
  </si>
  <si>
    <t>แพขายปลาอวนดำ-ไต๋แขก</t>
  </si>
  <si>
    <t>แพขายปลาอวนดำ-แพกลุ่มฯ</t>
  </si>
  <si>
    <t>แพขายปลาอวนดำ-อดิศร</t>
  </si>
  <si>
    <t>ภาษีคืน T&amp;Y</t>
  </si>
  <si>
    <t>มานิตย์รวมภัณฑ์</t>
  </si>
  <si>
    <t>ย้อล่วย Ko Nyunt Lwin</t>
  </si>
  <si>
    <t>รถ 6 ล้อ</t>
  </si>
  <si>
    <t>ร้านขายมาม่า (นิตย์ชนก  อำพันธุ์สุข)</t>
  </si>
  <si>
    <t>ร้านแฟ้บ(น.ส.นิตย์ชนก อำพันธุ์สุข)</t>
  </si>
  <si>
    <t>ร้านเสื้อฝน (คุณกมลพร  ปักษา)</t>
  </si>
  <si>
    <t>รายได้ค่าเช่าล้ง ซ.7</t>
  </si>
  <si>
    <t>รายเที่ยว 6 ล้อ</t>
  </si>
  <si>
    <t>รายเที่ยวโม่น้ำแข็ง</t>
  </si>
  <si>
    <t>รายเที่ยว-รถน้ำ</t>
  </si>
  <si>
    <t>โรงกลึงช่างสุข- ปากคลอง</t>
  </si>
  <si>
    <t>โรงน้ำแข็งติด้า</t>
  </si>
  <si>
    <t>โรงเลื่อย</t>
  </si>
  <si>
    <t>วอม(ขนส่งค่าใช้จ่าย)</t>
  </si>
  <si>
    <t>วอมส่งออก</t>
  </si>
  <si>
    <t>สำรองY</t>
  </si>
  <si>
    <t>สำรองเกียร์Twin Dish7:1</t>
  </si>
  <si>
    <t>สำรองโกกิ้ม</t>
  </si>
  <si>
    <t>สำรองโกช้วน</t>
  </si>
  <si>
    <t>สำรองโกฟุ๊ก</t>
  </si>
  <si>
    <t>สำรองเครื่องดื่ม</t>
  </si>
  <si>
    <t>สำรองเครื่องมือเรือรวม</t>
  </si>
  <si>
    <t>สำรองจ่ายโกวันซิ่น(รวม)</t>
  </si>
  <si>
    <t>สำรองช่างเยื้อน</t>
  </si>
  <si>
    <t>สำรองท่อ24นิ้ว</t>
  </si>
  <si>
    <t>สำรองท่อ7นิ้ว</t>
  </si>
  <si>
    <t>สำรองบัตรพม่า</t>
  </si>
  <si>
    <t>สำรองปั้นจั่นมะริด</t>
  </si>
  <si>
    <t>สำรองพี่ตั้ม</t>
  </si>
  <si>
    <t>สำรองมาม่า</t>
  </si>
  <si>
    <t>เสง-ห้องเย็น</t>
  </si>
  <si>
    <t>อั่งเปา</t>
  </si>
  <si>
    <t>อู้ม่าวโชว่</t>
  </si>
  <si>
    <t>เอกสารIMD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</si>
</sst>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7" formatCode="_-* #,##0.00_-;\-* #,##0.00_-;_-* &quot;-&quot;??_-;_-@_-"/>
    <numFmt numFmtId="188" formatCode="[$-107041E]d\ mmm\ yy;@"/>
    <numFmt numFmtId="189" formatCode="[$-1070000]d/m/yy;@"/>
    <numFmt numFmtId="190" formatCode="_(* #,##0.00_);[Red]\(#,##0.00\);_(* &quot;-&quot;??_)"/>
    <numFmt numFmtId="191" formatCode="[$-1070000]d/mm/yyyy;@"/>
  </numFmts>
  <fonts count="45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b/>
      <sz val="16"/>
      <color theme="1"/>
      <name val="Cordia New"/>
      <family val="2"/>
    </font>
    <font>
      <sz val="16"/>
      <color theme="1"/>
      <name val="Cordia New"/>
      <family val="2"/>
    </font>
    <font>
      <strike/>
      <sz val="16"/>
      <color theme="1"/>
      <name val="Cordia New"/>
      <family val="2"/>
    </font>
    <font>
      <sz val="15"/>
      <color theme="1"/>
      <name val="Cordia New"/>
      <family val="2"/>
    </font>
    <font>
      <sz val="14"/>
      <name val="AngsanaUPC"/>
      <family val="1"/>
    </font>
    <font>
      <sz val="16"/>
      <name val="CordiaUPC"/>
      <family val="2"/>
    </font>
    <font>
      <sz val="14"/>
      <color theme="1"/>
      <name val="Cordia New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6"/>
      <name val="Cordia New"/>
      <family val="2"/>
    </font>
    <font>
      <sz val="14"/>
      <color theme="1"/>
      <name val="Tahoma"/>
      <family val="2"/>
      <charset val="222"/>
      <scheme val="minor"/>
    </font>
    <font>
      <sz val="14"/>
      <name val="CordiaUPC"/>
      <family val="2"/>
      <charset val="222"/>
    </font>
    <font>
      <sz val="16"/>
      <color rgb="FFFF0000"/>
      <name val="CordiaUPC"/>
      <family val="2"/>
    </font>
    <font>
      <b/>
      <sz val="14"/>
      <name val="CordiaUPC"/>
      <family val="2"/>
      <charset val="222"/>
    </font>
    <font>
      <b/>
      <sz val="16"/>
      <name val="CordiaUPC"/>
      <family val="2"/>
    </font>
    <font>
      <sz val="14"/>
      <name val="CordiaUPC"/>
      <family val="2"/>
    </font>
    <font>
      <sz val="14"/>
      <name val="Cordia New"/>
      <family val="2"/>
      <charset val="222"/>
    </font>
    <font>
      <u val="singleAccounting"/>
      <sz val="16"/>
      <name val="Cordia New"/>
      <family val="2"/>
    </font>
    <font>
      <u/>
      <sz val="16"/>
      <name val="Cordia New"/>
      <family val="2"/>
    </font>
    <font>
      <sz val="16"/>
      <color theme="1"/>
      <name val="Tahoma"/>
      <family val="2"/>
      <charset val="222"/>
      <scheme val="minor"/>
    </font>
    <font>
      <b/>
      <u/>
      <sz val="16"/>
      <name val="CordiaUPC"/>
      <family val="2"/>
    </font>
    <font>
      <sz val="14"/>
      <color theme="0"/>
      <name val="CordiaUPC"/>
      <family val="2"/>
    </font>
    <font>
      <sz val="16"/>
      <color rgb="FFC00000"/>
      <name val="CordiaUPC"/>
      <family val="2"/>
    </font>
    <font>
      <b/>
      <u/>
      <sz val="16"/>
      <name val="Cordia New"/>
      <family val="2"/>
    </font>
    <font>
      <sz val="16"/>
      <name val="Cordia New"/>
      <family val="2"/>
      <charset val="222"/>
    </font>
    <font>
      <b/>
      <sz val="16"/>
      <name val="CordiaUPC"/>
      <family val="2"/>
      <charset val="222"/>
    </font>
    <font>
      <sz val="16"/>
      <name val="AngsanaUPC"/>
      <family val="1"/>
    </font>
    <font>
      <sz val="16"/>
      <name val="CordiaUPC"/>
      <family val="2"/>
      <charset val="222"/>
    </font>
    <font>
      <u/>
      <sz val="16"/>
      <name val="CordiaUPC"/>
      <family val="2"/>
    </font>
    <font>
      <sz val="14"/>
      <color rgb="FFFF0000"/>
      <name val="CordiaUPC"/>
      <family val="2"/>
    </font>
    <font>
      <b/>
      <sz val="14"/>
      <color theme="5" tint="-0.249977111117893"/>
      <name val="CordiaUPC"/>
      <family val="2"/>
    </font>
    <font>
      <b/>
      <sz val="16"/>
      <name val="Cordia New"/>
      <family val="2"/>
    </font>
    <font>
      <b/>
      <sz val="14"/>
      <name val="CordiaUPC"/>
      <family val="2"/>
    </font>
    <font>
      <strike/>
      <sz val="16"/>
      <name val="CordiaUPC"/>
      <family val="2"/>
    </font>
    <font>
      <sz val="14"/>
      <name val="Cordia New"/>
      <family val="2"/>
    </font>
    <font>
      <b/>
      <sz val="40"/>
      <color theme="8" tint="-0.249977111117893"/>
      <name val="Cordia New"/>
      <family val="2"/>
    </font>
    <font>
      <b/>
      <sz val="28"/>
      <color theme="5" tint="-0.249977111117893"/>
      <name val="Cordia New"/>
      <family val="2"/>
    </font>
    <font>
      <b/>
      <sz val="24"/>
      <color theme="8" tint="-0.249977111117893"/>
      <name val="Cordia New"/>
      <family val="2"/>
    </font>
    <font>
      <b/>
      <sz val="16"/>
      <color theme="8" tint="-0.249977111117893"/>
      <name val="Cordia New"/>
      <family val="2"/>
    </font>
    <font>
      <sz val="16"/>
      <color theme="8" tint="-0.249977111117893"/>
      <name val="Cordia New"/>
      <family val="2"/>
    </font>
    <font>
      <sz val="12"/>
      <color theme="8" tint="-0.249977111117893"/>
      <name val="Cordia New"/>
      <family val="2"/>
    </font>
    <font>
      <sz val="14"/>
      <color theme="8" tint="-0.249977111117893"/>
      <name val="Cordia New"/>
      <family val="2"/>
    </font>
    <font>
      <b/>
      <sz val="14"/>
      <name val="Cordia New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1CC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8497B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CC00"/>
        <bgColor indexed="64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/>
      <bottom style="thick">
        <color theme="4" tint="0.39994506668294322"/>
      </bottom>
      <diagonal/>
    </border>
    <border>
      <left style="thick">
        <color theme="4" tint="0.39994506668294322"/>
      </left>
      <right/>
      <top style="thick">
        <color theme="4" tint="0.39994506668294322"/>
      </top>
      <bottom style="thick">
        <color theme="4" tint="0.39994506668294322"/>
      </bottom>
      <diagonal/>
    </border>
    <border>
      <left/>
      <right/>
      <top style="thick">
        <color theme="4" tint="0.39994506668294322"/>
      </top>
      <bottom style="thick">
        <color theme="4" tint="0.39994506668294322"/>
      </bottom>
      <diagonal/>
    </border>
    <border>
      <left/>
      <right style="thick">
        <color theme="4" tint="0.39991454817346722"/>
      </right>
      <top style="thick">
        <color theme="4" tint="0.39994506668294322"/>
      </top>
      <bottom style="thick">
        <color theme="4" tint="0.39994506668294322"/>
      </bottom>
      <diagonal/>
    </border>
    <border>
      <left/>
      <right/>
      <top style="thick">
        <color theme="4" tint="0.39994506668294322"/>
      </top>
      <bottom style="thin">
        <color theme="4" tint="0.39994506668294322"/>
      </bottom>
      <diagonal/>
    </border>
    <border>
      <left/>
      <right/>
      <top/>
      <bottom style="thin">
        <color theme="4" tint="0.39994506668294322"/>
      </bottom>
      <diagonal/>
    </border>
    <border>
      <left style="thin">
        <color theme="4" tint="0.39994506668294322"/>
      </left>
      <right/>
      <top style="thin">
        <color theme="4" tint="0.39994506668294322"/>
      </top>
      <bottom/>
      <diagonal/>
    </border>
    <border>
      <left/>
      <right/>
      <top style="thin">
        <color theme="4" tint="0.39994506668294322"/>
      </top>
      <bottom/>
      <diagonal/>
    </border>
    <border>
      <left/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14548173467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/>
      <top/>
      <bottom style="thin">
        <color theme="4" tint="0.39994506668294322"/>
      </bottom>
      <diagonal/>
    </border>
    <border>
      <left/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14548173467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/>
      <top style="thin">
        <color theme="4" tint="0.39994506668294322"/>
      </top>
      <bottom style="dotted">
        <color theme="4" tint="0.39994506668294322"/>
      </bottom>
      <diagonal/>
    </border>
    <border>
      <left/>
      <right/>
      <top style="thin">
        <color theme="4" tint="0.39994506668294322"/>
      </top>
      <bottom style="dotted">
        <color theme="4" tint="0.39994506668294322"/>
      </bottom>
      <diagonal/>
    </border>
    <border>
      <left/>
      <right style="thin">
        <color theme="4" tint="0.39994506668294322"/>
      </right>
      <top style="thin">
        <color theme="4" tint="0.39994506668294322"/>
      </top>
      <bottom style="dotted">
        <color theme="4" tint="0.39994506668294322"/>
      </bottom>
      <diagonal/>
    </border>
    <border>
      <left style="thin">
        <color theme="4" tint="0.39994506668294322"/>
      </left>
      <right style="thin">
        <color theme="4" tint="0.39991454817346722"/>
      </right>
      <top style="thin">
        <color theme="4" tint="0.39994506668294322"/>
      </top>
      <bottom style="dotted">
        <color theme="4" tint="0.39994506668294322"/>
      </bottom>
      <diagonal/>
    </border>
    <border>
      <left style="thin">
        <color theme="4" tint="0.39994506668294322"/>
      </left>
      <right/>
      <top style="dotted">
        <color theme="4" tint="0.39994506668294322"/>
      </top>
      <bottom style="dotted">
        <color theme="4" tint="0.39994506668294322"/>
      </bottom>
      <diagonal/>
    </border>
    <border>
      <left/>
      <right/>
      <top style="dotted">
        <color theme="4" tint="0.39994506668294322"/>
      </top>
      <bottom style="dotted">
        <color theme="4" tint="0.39994506668294322"/>
      </bottom>
      <diagonal/>
    </border>
    <border>
      <left/>
      <right style="thin">
        <color theme="4" tint="0.39994506668294322"/>
      </right>
      <top style="dotted">
        <color theme="4" tint="0.39994506668294322"/>
      </top>
      <bottom style="dotted">
        <color theme="4" tint="0.39994506668294322"/>
      </bottom>
      <diagonal/>
    </border>
    <border>
      <left style="thin">
        <color theme="4" tint="0.39994506668294322"/>
      </left>
      <right style="thin">
        <color theme="4" tint="0.39991454817346722"/>
      </right>
      <top style="dotted">
        <color theme="4" tint="0.39994506668294322"/>
      </top>
      <bottom style="dotted">
        <color theme="4" tint="0.39994506668294322"/>
      </bottom>
      <diagonal/>
    </border>
    <border>
      <left style="thin">
        <color theme="4" tint="0.39994506668294322"/>
      </left>
      <right/>
      <top style="dotted">
        <color theme="4" tint="0.39994506668294322"/>
      </top>
      <bottom style="thin">
        <color theme="4" tint="0.39994506668294322"/>
      </bottom>
      <diagonal/>
    </border>
    <border>
      <left/>
      <right/>
      <top style="dotted">
        <color theme="4" tint="0.39994506668294322"/>
      </top>
      <bottom style="thin">
        <color theme="4" tint="0.39994506668294322"/>
      </bottom>
      <diagonal/>
    </border>
    <border>
      <left/>
      <right style="thin">
        <color theme="4" tint="0.39994506668294322"/>
      </right>
      <top style="dotted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1454817346722"/>
      </right>
      <top style="dotted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1454817346722"/>
      </right>
      <top style="thin">
        <color theme="4" tint="0.39994506668294322"/>
      </top>
      <bottom style="double">
        <color theme="4" tint="0.39994506668294322"/>
      </bottom>
      <diagonal/>
    </border>
    <border>
      <left style="thin">
        <color theme="4" tint="0.39994506668294322"/>
      </left>
      <right/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theme="4" tint="0.399914548173467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/>
      <bottom style="mediumDashDotDot">
        <color theme="0" tint="-0.14996795556505021"/>
      </bottom>
      <diagonal/>
    </border>
  </borders>
  <cellStyleXfs count="6">
    <xf numFmtId="0" fontId="0" fillId="0" borderId="0"/>
    <xf numFmtId="0" fontId="1" fillId="0" borderId="0"/>
    <xf numFmtId="0" fontId="6" fillId="0" borderId="0"/>
    <xf numFmtId="187" fontId="6" fillId="0" borderId="0" applyFont="0" applyFill="0" applyBorder="0" applyAlignment="0" applyProtection="0"/>
    <xf numFmtId="0" fontId="36" fillId="0" borderId="0"/>
    <xf numFmtId="187" fontId="6" fillId="0" borderId="0" applyFont="0" applyFill="0" applyBorder="0" applyAlignment="0" applyProtection="0"/>
  </cellStyleXfs>
  <cellXfs count="427">
    <xf numFmtId="0" fontId="0" fillId="0" borderId="0" xfId="0"/>
    <xf numFmtId="0" fontId="2" fillId="0" borderId="1" xfId="1" applyFont="1" applyBorder="1" applyAlignment="1">
      <alignment horizontal="center"/>
    </xf>
    <xf numFmtId="0" fontId="3" fillId="0" borderId="0" xfId="1" applyFont="1"/>
    <xf numFmtId="0" fontId="3" fillId="0" borderId="1" xfId="1" applyFont="1" applyBorder="1" applyAlignment="1">
      <alignment horizontal="left"/>
    </xf>
    <xf numFmtId="0" fontId="3" fillId="0" borderId="1" xfId="1" applyFont="1" applyBorder="1" applyAlignment="1">
      <alignment horizontal="center"/>
    </xf>
    <xf numFmtId="0" fontId="3" fillId="0" borderId="1" xfId="1" applyFont="1" applyBorder="1"/>
    <xf numFmtId="0" fontId="4" fillId="0" borderId="1" xfId="1" applyFont="1" applyBorder="1"/>
    <xf numFmtId="0" fontId="4" fillId="0" borderId="1" xfId="1" applyFont="1" applyBorder="1" applyAlignment="1">
      <alignment horizontal="center"/>
    </xf>
    <xf numFmtId="0" fontId="5" fillId="0" borderId="1" xfId="1" applyFont="1" applyBorder="1"/>
    <xf numFmtId="0" fontId="7" fillId="0" borderId="1" xfId="2" applyFont="1" applyBorder="1" applyAlignment="1">
      <alignment horizontal="center"/>
    </xf>
    <xf numFmtId="0" fontId="3" fillId="0" borderId="1" xfId="1" applyFont="1" applyBorder="1" applyAlignment="1">
      <alignment wrapText="1"/>
    </xf>
    <xf numFmtId="0" fontId="8" fillId="0" borderId="1" xfId="1" applyFont="1" applyBorder="1" applyAlignment="1">
      <alignment horizontal="center"/>
    </xf>
    <xf numFmtId="0" fontId="8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3" fillId="0" borderId="3" xfId="1" applyFont="1" applyBorder="1"/>
    <xf numFmtId="0" fontId="7" fillId="0" borderId="3" xfId="2" applyFont="1" applyBorder="1" applyAlignment="1">
      <alignment horizontal="center"/>
    </xf>
    <xf numFmtId="0" fontId="3" fillId="2" borderId="0" xfId="1" applyFont="1" applyFill="1"/>
    <xf numFmtId="0" fontId="4" fillId="0" borderId="1" xfId="1" applyFont="1" applyBorder="1" applyAlignment="1">
      <alignment wrapText="1"/>
    </xf>
    <xf numFmtId="0" fontId="4" fillId="0" borderId="1" xfId="1" applyFont="1" applyBorder="1" applyAlignment="1">
      <alignment horizontal="center" wrapText="1"/>
    </xf>
    <xf numFmtId="0" fontId="8" fillId="0" borderId="1" xfId="1" applyFont="1" applyBorder="1"/>
    <xf numFmtId="14" fontId="3" fillId="0" borderId="0" xfId="1" applyNumberFormat="1" applyFont="1"/>
    <xf numFmtId="0" fontId="3" fillId="2" borderId="1" xfId="1" applyFont="1" applyFill="1" applyBorder="1"/>
    <xf numFmtId="0" fontId="3" fillId="2" borderId="1" xfId="1" applyFont="1" applyFill="1" applyBorder="1" applyAlignment="1">
      <alignment horizontal="center"/>
    </xf>
    <xf numFmtId="0" fontId="3" fillId="0" borderId="1" xfId="1" applyFont="1" applyBorder="1" applyAlignment="1">
      <alignment shrinkToFit="1"/>
    </xf>
    <xf numFmtId="0" fontId="3" fillId="0" borderId="0" xfId="1" applyFont="1" applyAlignment="1">
      <alignment horizontal="center"/>
    </xf>
    <xf numFmtId="0" fontId="1" fillId="0" borderId="0" xfId="1"/>
    <xf numFmtId="0" fontId="7" fillId="0" borderId="0" xfId="2" applyFont="1"/>
    <xf numFmtId="187" fontId="11" fillId="0" borderId="0" xfId="3" applyFont="1" applyAlignment="1"/>
    <xf numFmtId="0" fontId="11" fillId="0" borderId="0" xfId="2" applyFont="1"/>
    <xf numFmtId="0" fontId="12" fillId="0" borderId="0" xfId="1" applyFont="1"/>
    <xf numFmtId="0" fontId="7" fillId="0" borderId="0" xfId="2" applyFont="1" applyAlignment="1">
      <alignment horizontal="center"/>
    </xf>
    <xf numFmtId="0" fontId="13" fillId="0" borderId="0" xfId="2" applyFont="1"/>
    <xf numFmtId="0" fontId="13" fillId="0" borderId="0" xfId="2" applyFont="1" applyAlignment="1">
      <alignment horizontal="center" shrinkToFit="1"/>
    </xf>
    <xf numFmtId="0" fontId="13" fillId="0" borderId="0" xfId="2" applyFont="1" applyAlignment="1">
      <alignment shrinkToFit="1"/>
    </xf>
    <xf numFmtId="0" fontId="13" fillId="0" borderId="0" xfId="2" applyFont="1" applyAlignment="1">
      <alignment horizontal="left"/>
    </xf>
    <xf numFmtId="49" fontId="14" fillId="0" borderId="0" xfId="2" applyNumberFormat="1" applyFont="1" applyAlignment="1">
      <alignment horizontal="left"/>
    </xf>
    <xf numFmtId="49" fontId="7" fillId="0" borderId="4" xfId="2" applyNumberFormat="1" applyFont="1" applyBorder="1" applyAlignment="1">
      <alignment horizontal="center"/>
    </xf>
    <xf numFmtId="0" fontId="14" fillId="0" borderId="0" xfId="2" applyFont="1" applyAlignment="1">
      <alignment horizontal="center"/>
    </xf>
    <xf numFmtId="187" fontId="13" fillId="0" borderId="5" xfId="3" applyFont="1" applyBorder="1" applyAlignment="1"/>
    <xf numFmtId="187" fontId="13" fillId="0" borderId="6" xfId="3" applyFont="1" applyBorder="1" applyAlignment="1"/>
    <xf numFmtId="0" fontId="13" fillId="0" borderId="7" xfId="2" applyFont="1" applyBorder="1" applyAlignment="1">
      <alignment horizontal="center" shrinkToFit="1"/>
    </xf>
    <xf numFmtId="0" fontId="15" fillId="0" borderId="8" xfId="2" applyFont="1" applyBorder="1" applyAlignment="1">
      <alignment horizontal="center" shrinkToFit="1"/>
    </xf>
    <xf numFmtId="0" fontId="13" fillId="0" borderId="8" xfId="2" applyFont="1" applyBorder="1" applyAlignment="1">
      <alignment shrinkToFit="1"/>
    </xf>
    <xf numFmtId="188" fontId="13" fillId="0" borderId="8" xfId="2" applyNumberFormat="1" applyFont="1" applyBorder="1" applyAlignment="1">
      <alignment horizontal="left"/>
    </xf>
    <xf numFmtId="49" fontId="13" fillId="0" borderId="8" xfId="2" applyNumberFormat="1" applyFont="1" applyBorder="1" applyAlignment="1">
      <alignment horizontal="center"/>
    </xf>
    <xf numFmtId="49" fontId="13" fillId="0" borderId="9" xfId="2" applyNumberFormat="1" applyFont="1" applyBorder="1" applyAlignment="1">
      <alignment horizontal="center"/>
    </xf>
    <xf numFmtId="188" fontId="13" fillId="0" borderId="8" xfId="2" applyNumberFormat="1" applyFont="1" applyBorder="1" applyAlignment="1">
      <alignment horizontal="center"/>
    </xf>
    <xf numFmtId="187" fontId="7" fillId="0" borderId="6" xfId="2" applyNumberFormat="1" applyFont="1" applyBorder="1"/>
    <xf numFmtId="0" fontId="16" fillId="0" borderId="0" xfId="2" applyFont="1" applyAlignment="1">
      <alignment horizontal="center"/>
    </xf>
    <xf numFmtId="187" fontId="13" fillId="3" borderId="10" xfId="3" applyFont="1" applyFill="1" applyBorder="1" applyAlignment="1"/>
    <xf numFmtId="187" fontId="13" fillId="0" borderId="10" xfId="3" applyFont="1" applyFill="1" applyBorder="1" applyAlignment="1"/>
    <xf numFmtId="0" fontId="13" fillId="0" borderId="2" xfId="2" applyFont="1" applyBorder="1" applyAlignment="1">
      <alignment horizontal="center" shrinkToFit="1"/>
    </xf>
    <xf numFmtId="0" fontId="13" fillId="0" borderId="10" xfId="2" applyFont="1" applyBorder="1" applyAlignment="1">
      <alignment shrinkToFit="1"/>
    </xf>
    <xf numFmtId="188" fontId="13" fillId="0" borderId="9" xfId="2" applyNumberFormat="1" applyFont="1" applyBorder="1" applyAlignment="1">
      <alignment horizontal="left"/>
    </xf>
    <xf numFmtId="189" fontId="13" fillId="0" borderId="9" xfId="2" applyNumberFormat="1" applyFont="1" applyBorder="1" applyAlignment="1">
      <alignment horizontal="center"/>
    </xf>
    <xf numFmtId="49" fontId="13" fillId="0" borderId="11" xfId="2" applyNumberFormat="1" applyFont="1" applyBorder="1" applyAlignment="1">
      <alignment horizontal="center"/>
    </xf>
    <xf numFmtId="49" fontId="13" fillId="0" borderId="12" xfId="2" applyNumberFormat="1" applyFont="1" applyBorder="1" applyAlignment="1">
      <alignment horizontal="center"/>
    </xf>
    <xf numFmtId="0" fontId="16" fillId="3" borderId="1" xfId="2" applyFont="1" applyFill="1" applyBorder="1" applyAlignment="1">
      <alignment horizontal="center"/>
    </xf>
    <xf numFmtId="188" fontId="16" fillId="0" borderId="0" xfId="2" applyNumberFormat="1" applyFont="1" applyAlignment="1">
      <alignment horizontal="center"/>
    </xf>
    <xf numFmtId="187" fontId="13" fillId="0" borderId="2" xfId="3" applyFont="1" applyFill="1" applyBorder="1" applyAlignment="1"/>
    <xf numFmtId="0" fontId="13" fillId="0" borderId="2" xfId="2" applyFont="1" applyBorder="1" applyAlignment="1">
      <alignment shrinkToFit="1"/>
    </xf>
    <xf numFmtId="188" fontId="13" fillId="0" borderId="11" xfId="2" applyNumberFormat="1" applyFont="1" applyBorder="1" applyAlignment="1">
      <alignment horizontal="left"/>
    </xf>
    <xf numFmtId="189" fontId="13" fillId="0" borderId="11" xfId="2" applyNumberFormat="1" applyFont="1" applyBorder="1" applyAlignment="1">
      <alignment horizontal="center"/>
    </xf>
    <xf numFmtId="49" fontId="13" fillId="0" borderId="4" xfId="2" applyNumberFormat="1" applyFont="1" applyBorder="1" applyAlignment="1">
      <alignment horizontal="center"/>
    </xf>
    <xf numFmtId="49" fontId="13" fillId="0" borderId="13" xfId="2" applyNumberFormat="1" applyFont="1" applyBorder="1" applyAlignment="1">
      <alignment horizontal="center"/>
    </xf>
    <xf numFmtId="187" fontId="7" fillId="0" borderId="14" xfId="3" applyFont="1" applyFill="1" applyBorder="1" applyAlignment="1">
      <alignment horizontal="center" vertical="center"/>
    </xf>
    <xf numFmtId="187" fontId="13" fillId="0" borderId="15" xfId="3" applyFont="1" applyFill="1" applyBorder="1" applyAlignment="1"/>
    <xf numFmtId="0" fontId="13" fillId="0" borderId="15" xfId="2" applyFont="1" applyBorder="1" applyAlignment="1">
      <alignment horizontal="center" shrinkToFit="1"/>
    </xf>
    <xf numFmtId="0" fontId="13" fillId="0" borderId="15" xfId="2" applyFont="1" applyBorder="1" applyAlignment="1">
      <alignment shrinkToFit="1"/>
    </xf>
    <xf numFmtId="188" fontId="13" fillId="0" borderId="4" xfId="2" applyNumberFormat="1" applyFont="1" applyBorder="1" applyAlignment="1">
      <alignment horizontal="left"/>
    </xf>
    <xf numFmtId="189" fontId="13" fillId="0" borderId="4" xfId="2" applyNumberFormat="1" applyFont="1" applyBorder="1" applyAlignment="1">
      <alignment horizontal="center"/>
    </xf>
    <xf numFmtId="0" fontId="13" fillId="0" borderId="10" xfId="2" applyFont="1" applyBorder="1" applyAlignment="1">
      <alignment horizontal="center" shrinkToFit="1"/>
    </xf>
    <xf numFmtId="49" fontId="13" fillId="0" borderId="16" xfId="2" applyNumberFormat="1" applyFont="1" applyBorder="1" applyAlignment="1">
      <alignment horizontal="center"/>
    </xf>
    <xf numFmtId="49" fontId="13" fillId="0" borderId="17" xfId="2" applyNumberFormat="1" applyFont="1" applyBorder="1" applyAlignment="1">
      <alignment horizontal="center"/>
    </xf>
    <xf numFmtId="187" fontId="7" fillId="0" borderId="0" xfId="3" applyFont="1" applyAlignment="1"/>
    <xf numFmtId="187" fontId="13" fillId="0" borderId="18" xfId="3" applyFont="1" applyFill="1" applyBorder="1" applyAlignment="1"/>
    <xf numFmtId="0" fontId="13" fillId="0" borderId="18" xfId="2" applyFont="1" applyBorder="1" applyAlignment="1">
      <alignment horizontal="center" shrinkToFit="1"/>
    </xf>
    <xf numFmtId="0" fontId="13" fillId="0" borderId="18" xfId="2" applyFont="1" applyBorder="1" applyAlignment="1">
      <alignment shrinkToFit="1"/>
    </xf>
    <xf numFmtId="188" fontId="13" fillId="0" borderId="17" xfId="2" applyNumberFormat="1" applyFont="1" applyBorder="1" applyAlignment="1">
      <alignment horizontal="left"/>
    </xf>
    <xf numFmtId="189" fontId="13" fillId="0" borderId="17" xfId="2" applyNumberFormat="1" applyFont="1" applyBorder="1" applyAlignment="1">
      <alignment horizontal="center"/>
    </xf>
    <xf numFmtId="49" fontId="13" fillId="0" borderId="19" xfId="2" applyNumberFormat="1" applyFont="1" applyBorder="1" applyAlignment="1">
      <alignment horizontal="center"/>
    </xf>
    <xf numFmtId="187" fontId="7" fillId="0" borderId="0" xfId="2" applyNumberFormat="1" applyFont="1"/>
    <xf numFmtId="49" fontId="13" fillId="0" borderId="20" xfId="2" applyNumberFormat="1" applyFont="1" applyBorder="1" applyAlignment="1">
      <alignment horizontal="center"/>
    </xf>
    <xf numFmtId="187" fontId="7" fillId="0" borderId="21" xfId="2" applyNumberFormat="1" applyFont="1" applyBorder="1"/>
    <xf numFmtId="187" fontId="13" fillId="3" borderId="18" xfId="3" applyFont="1" applyFill="1" applyBorder="1" applyAlignment="1"/>
    <xf numFmtId="49" fontId="13" fillId="0" borderId="18" xfId="2" applyNumberFormat="1" applyFont="1" applyBorder="1" applyAlignment="1">
      <alignment horizontal="center"/>
    </xf>
    <xf numFmtId="188" fontId="13" fillId="0" borderId="18" xfId="2" applyNumberFormat="1" applyFont="1" applyBorder="1" applyAlignment="1">
      <alignment horizontal="left"/>
    </xf>
    <xf numFmtId="189" fontId="13" fillId="0" borderId="18" xfId="2" applyNumberFormat="1" applyFont="1" applyBorder="1" applyAlignment="1">
      <alignment horizontal="center"/>
    </xf>
    <xf numFmtId="49" fontId="13" fillId="0" borderId="22" xfId="2" applyNumberFormat="1" applyFont="1" applyBorder="1" applyAlignment="1">
      <alignment horizontal="center"/>
    </xf>
    <xf numFmtId="49" fontId="13" fillId="0" borderId="2" xfId="2" applyNumberFormat="1" applyFont="1" applyBorder="1" applyAlignment="1">
      <alignment horizontal="center"/>
    </xf>
    <xf numFmtId="187" fontId="7" fillId="0" borderId="14" xfId="3" applyFont="1" applyFill="1" applyBorder="1" applyAlignment="1">
      <alignment horizontal="left" vertical="center"/>
    </xf>
    <xf numFmtId="49" fontId="13" fillId="0" borderId="23" xfId="2" applyNumberFormat="1" applyFont="1" applyBorder="1" applyAlignment="1">
      <alignment horizontal="center"/>
    </xf>
    <xf numFmtId="0" fontId="17" fillId="0" borderId="2" xfId="2" applyFont="1" applyBorder="1" applyAlignment="1">
      <alignment horizontal="center" shrinkToFit="1"/>
    </xf>
    <xf numFmtId="0" fontId="18" fillId="0" borderId="15" xfId="2" applyFont="1" applyBorder="1" applyAlignment="1">
      <alignment shrinkToFit="1"/>
    </xf>
    <xf numFmtId="0" fontId="17" fillId="0" borderId="10" xfId="2" applyFont="1" applyBorder="1" applyAlignment="1">
      <alignment horizontal="center" shrinkToFit="1"/>
    </xf>
    <xf numFmtId="0" fontId="13" fillId="0" borderId="24" xfId="2" applyFont="1" applyBorder="1" applyAlignment="1">
      <alignment horizontal="left" shrinkToFit="1"/>
    </xf>
    <xf numFmtId="0" fontId="17" fillId="0" borderId="15" xfId="2" applyFont="1" applyBorder="1" applyAlignment="1">
      <alignment horizontal="center" shrinkToFit="1"/>
    </xf>
    <xf numFmtId="0" fontId="13" fillId="0" borderId="25" xfId="2" applyFont="1" applyBorder="1" applyAlignment="1">
      <alignment shrinkToFit="1"/>
    </xf>
    <xf numFmtId="49" fontId="13" fillId="0" borderId="26" xfId="2" applyNumberFormat="1" applyFont="1" applyBorder="1" applyAlignment="1">
      <alignment horizontal="center"/>
    </xf>
    <xf numFmtId="187" fontId="13" fillId="0" borderId="27" xfId="3" applyFont="1" applyFill="1" applyBorder="1" applyAlignment="1"/>
    <xf numFmtId="0" fontId="13" fillId="0" borderId="27" xfId="2" applyFont="1" applyBorder="1" applyAlignment="1">
      <alignment shrinkToFit="1"/>
    </xf>
    <xf numFmtId="188" fontId="13" fillId="0" borderId="22" xfId="2" applyNumberFormat="1" applyFont="1" applyBorder="1" applyAlignment="1">
      <alignment horizontal="left"/>
    </xf>
    <xf numFmtId="49" fontId="13" fillId="0" borderId="28" xfId="2" applyNumberFormat="1" applyFont="1" applyBorder="1" applyAlignment="1">
      <alignment horizontal="center"/>
    </xf>
    <xf numFmtId="187" fontId="11" fillId="4" borderId="29" xfId="3" applyFont="1" applyFill="1" applyBorder="1" applyAlignment="1"/>
    <xf numFmtId="0" fontId="11" fillId="4" borderId="29" xfId="1" applyFont="1" applyFill="1" applyBorder="1" applyAlignment="1">
      <alignment horizontal="left"/>
    </xf>
    <xf numFmtId="187" fontId="11" fillId="4" borderId="0" xfId="3" applyFont="1" applyFill="1" applyAlignment="1"/>
    <xf numFmtId="0" fontId="11" fillId="4" borderId="0" xfId="1" applyFont="1" applyFill="1" applyAlignment="1">
      <alignment horizontal="left"/>
    </xf>
    <xf numFmtId="187" fontId="13" fillId="0" borderId="30" xfId="3" applyFont="1" applyFill="1" applyBorder="1" applyAlignment="1"/>
    <xf numFmtId="0" fontId="13" fillId="0" borderId="30" xfId="2" applyFont="1" applyBorder="1" applyAlignment="1">
      <alignment shrinkToFit="1"/>
    </xf>
    <xf numFmtId="188" fontId="13" fillId="0" borderId="23" xfId="2" applyNumberFormat="1" applyFont="1" applyBorder="1" applyAlignment="1">
      <alignment horizontal="left"/>
    </xf>
    <xf numFmtId="189" fontId="13" fillId="0" borderId="22" xfId="2" applyNumberFormat="1" applyFont="1" applyBorder="1" applyAlignment="1">
      <alignment horizontal="center"/>
    </xf>
    <xf numFmtId="49" fontId="13" fillId="0" borderId="31" xfId="2" applyNumberFormat="1" applyFont="1" applyBorder="1" applyAlignment="1">
      <alignment horizontal="center"/>
    </xf>
    <xf numFmtId="189" fontId="13" fillId="0" borderId="10" xfId="2" applyNumberFormat="1" applyFont="1" applyBorder="1" applyAlignment="1">
      <alignment horizontal="center"/>
    </xf>
    <xf numFmtId="189" fontId="13" fillId="0" borderId="15" xfId="2" applyNumberFormat="1" applyFont="1" applyBorder="1" applyAlignment="1">
      <alignment horizontal="center"/>
    </xf>
    <xf numFmtId="0" fontId="11" fillId="4" borderId="0" xfId="3" applyNumberFormat="1" applyFont="1" applyFill="1" applyAlignment="1">
      <alignment vertical="center"/>
    </xf>
    <xf numFmtId="187" fontId="11" fillId="4" borderId="0" xfId="3" applyFont="1" applyFill="1" applyAlignment="1">
      <alignment vertical="center"/>
    </xf>
    <xf numFmtId="0" fontId="16" fillId="3" borderId="3" xfId="2" applyFont="1" applyFill="1" applyBorder="1" applyAlignment="1">
      <alignment horizontal="center"/>
    </xf>
    <xf numFmtId="187" fontId="7" fillId="0" borderId="32" xfId="2" applyNumberFormat="1" applyFont="1" applyBorder="1"/>
    <xf numFmtId="189" fontId="13" fillId="0" borderId="2" xfId="2" applyNumberFormat="1" applyFont="1" applyBorder="1" applyAlignment="1">
      <alignment horizontal="center"/>
    </xf>
    <xf numFmtId="189" fontId="13" fillId="0" borderId="27" xfId="2" applyNumberFormat="1" applyFont="1" applyBorder="1" applyAlignment="1">
      <alignment horizontal="center"/>
    </xf>
    <xf numFmtId="0" fontId="17" fillId="0" borderId="27" xfId="2" applyFont="1" applyBorder="1" applyAlignment="1">
      <alignment horizontal="center" shrinkToFit="1"/>
    </xf>
    <xf numFmtId="189" fontId="13" fillId="0" borderId="30" xfId="2" applyNumberFormat="1" applyFont="1" applyBorder="1" applyAlignment="1">
      <alignment horizontal="center"/>
    </xf>
    <xf numFmtId="49" fontId="13" fillId="0" borderId="33" xfId="2" applyNumberFormat="1" applyFont="1" applyBorder="1" applyAlignment="1">
      <alignment horizontal="center"/>
    </xf>
    <xf numFmtId="0" fontId="18" fillId="0" borderId="10" xfId="2" applyFont="1" applyBorder="1" applyAlignment="1">
      <alignment shrinkToFit="1"/>
    </xf>
    <xf numFmtId="187" fontId="7" fillId="0" borderId="34" xfId="3" applyFont="1" applyFill="1" applyBorder="1" applyAlignment="1">
      <alignment horizontal="center" vertical="center"/>
    </xf>
    <xf numFmtId="188" fontId="13" fillId="0" borderId="13" xfId="2" applyNumberFormat="1" applyFont="1" applyBorder="1" applyAlignment="1">
      <alignment horizontal="center"/>
    </xf>
    <xf numFmtId="187" fontId="7" fillId="0" borderId="34" xfId="3" applyFont="1" applyFill="1" applyBorder="1" applyAlignment="1"/>
    <xf numFmtId="187" fontId="17" fillId="0" borderId="2" xfId="3" applyFont="1" applyFill="1" applyBorder="1" applyAlignment="1"/>
    <xf numFmtId="0" fontId="18" fillId="0" borderId="2" xfId="2" applyFont="1" applyBorder="1" applyAlignment="1">
      <alignment shrinkToFit="1"/>
    </xf>
    <xf numFmtId="188" fontId="13" fillId="0" borderId="16" xfId="2" applyNumberFormat="1" applyFont="1" applyBorder="1" applyAlignment="1">
      <alignment horizontal="center"/>
    </xf>
    <xf numFmtId="187" fontId="17" fillId="0" borderId="18" xfId="3" applyFont="1" applyFill="1" applyBorder="1" applyAlignment="1"/>
    <xf numFmtId="188" fontId="13" fillId="0" borderId="19" xfId="2" applyNumberFormat="1" applyFont="1" applyBorder="1" applyAlignment="1">
      <alignment horizontal="center"/>
    </xf>
    <xf numFmtId="187" fontId="17" fillId="0" borderId="10" xfId="3" applyFont="1" applyFill="1" applyBorder="1" applyAlignment="1"/>
    <xf numFmtId="49" fontId="13" fillId="0" borderId="10" xfId="2" applyNumberFormat="1" applyFont="1" applyBorder="1" applyAlignment="1">
      <alignment horizontal="center"/>
    </xf>
    <xf numFmtId="188" fontId="13" fillId="0" borderId="12" xfId="2" applyNumberFormat="1" applyFont="1" applyBorder="1" applyAlignment="1">
      <alignment horizontal="center"/>
    </xf>
    <xf numFmtId="187" fontId="17" fillId="0" borderId="15" xfId="3" applyFont="1" applyFill="1" applyBorder="1" applyAlignment="1"/>
    <xf numFmtId="3" fontId="18" fillId="0" borderId="15" xfId="2" applyNumberFormat="1" applyFont="1" applyBorder="1" applyAlignment="1">
      <alignment shrinkToFit="1"/>
    </xf>
    <xf numFmtId="49" fontId="13" fillId="0" borderId="15" xfId="2" applyNumberFormat="1" applyFont="1" applyBorder="1" applyAlignment="1">
      <alignment horizontal="center"/>
    </xf>
    <xf numFmtId="0" fontId="17" fillId="0" borderId="18" xfId="2" applyFont="1" applyBorder="1" applyAlignment="1">
      <alignment horizontal="center" shrinkToFit="1"/>
    </xf>
    <xf numFmtId="187" fontId="13" fillId="0" borderId="3" xfId="3" applyFont="1" applyFill="1" applyBorder="1" applyAlignment="1"/>
    <xf numFmtId="0" fontId="18" fillId="0" borderId="3" xfId="2" applyFont="1" applyBorder="1" applyAlignment="1">
      <alignment shrinkToFit="1"/>
    </xf>
    <xf numFmtId="0" fontId="13" fillId="0" borderId="3" xfId="2" applyFont="1" applyBorder="1" applyAlignment="1">
      <alignment shrinkToFit="1"/>
    </xf>
    <xf numFmtId="188" fontId="13" fillId="0" borderId="26" xfId="2" applyNumberFormat="1" applyFont="1" applyBorder="1" applyAlignment="1">
      <alignment horizontal="left"/>
    </xf>
    <xf numFmtId="189" fontId="13" fillId="0" borderId="3" xfId="2" applyNumberFormat="1" applyFont="1" applyBorder="1" applyAlignment="1">
      <alignment horizontal="center"/>
    </xf>
    <xf numFmtId="188" fontId="13" fillId="0" borderId="35" xfId="2" applyNumberFormat="1" applyFont="1" applyBorder="1" applyAlignment="1">
      <alignment horizontal="center"/>
    </xf>
    <xf numFmtId="187" fontId="3" fillId="0" borderId="0" xfId="3" applyFont="1"/>
    <xf numFmtId="187" fontId="7" fillId="0" borderId="14" xfId="3" applyFont="1" applyFill="1" applyBorder="1" applyAlignment="1"/>
    <xf numFmtId="0" fontId="19" fillId="4" borderId="0" xfId="3" applyNumberFormat="1" applyFont="1" applyFill="1" applyAlignment="1">
      <alignment vertical="center"/>
    </xf>
    <xf numFmtId="187" fontId="11" fillId="0" borderId="0" xfId="3" applyFont="1" applyFill="1" applyBorder="1" applyAlignment="1">
      <alignment vertical="center"/>
    </xf>
    <xf numFmtId="187" fontId="11" fillId="0" borderId="0" xfId="3" applyFont="1" applyFill="1" applyAlignment="1">
      <alignment vertical="center"/>
    </xf>
    <xf numFmtId="187" fontId="11" fillId="5" borderId="29" xfId="3" applyFont="1" applyFill="1" applyBorder="1" applyAlignment="1">
      <alignment vertical="center"/>
    </xf>
    <xf numFmtId="3" fontId="18" fillId="0" borderId="10" xfId="2" applyNumberFormat="1" applyFont="1" applyBorder="1" applyAlignment="1">
      <alignment shrinkToFit="1"/>
    </xf>
    <xf numFmtId="187" fontId="11" fillId="5" borderId="0" xfId="3" applyFont="1" applyFill="1" applyAlignment="1">
      <alignment vertical="center"/>
    </xf>
    <xf numFmtId="0" fontId="13" fillId="0" borderId="15" xfId="2" applyFont="1" applyBorder="1" applyAlignment="1">
      <alignment vertical="center" shrinkToFit="1"/>
    </xf>
    <xf numFmtId="187" fontId="11" fillId="6" borderId="0" xfId="3" applyFont="1" applyFill="1" applyAlignment="1">
      <alignment vertical="center"/>
    </xf>
    <xf numFmtId="188" fontId="13" fillId="0" borderId="11" xfId="2" applyNumberFormat="1" applyFont="1" applyBorder="1" applyAlignment="1">
      <alignment horizontal="center"/>
    </xf>
    <xf numFmtId="0" fontId="20" fillId="5" borderId="0" xfId="3" applyNumberFormat="1" applyFont="1" applyFill="1" applyAlignment="1">
      <alignment vertical="center"/>
    </xf>
    <xf numFmtId="188" fontId="13" fillId="0" borderId="17" xfId="2" applyNumberFormat="1" applyFont="1" applyBorder="1" applyAlignment="1">
      <alignment horizontal="center"/>
    </xf>
    <xf numFmtId="49" fontId="13" fillId="0" borderId="10" xfId="2" applyNumberFormat="1" applyFont="1" applyBorder="1" applyAlignment="1">
      <alignment shrinkToFit="1"/>
    </xf>
    <xf numFmtId="188" fontId="13" fillId="0" borderId="26" xfId="2" applyNumberFormat="1" applyFont="1" applyBorder="1" applyAlignment="1">
      <alignment horizontal="center"/>
    </xf>
    <xf numFmtId="187" fontId="11" fillId="7" borderId="29" xfId="3" applyFont="1" applyFill="1" applyBorder="1" applyAlignment="1">
      <alignment vertical="center"/>
    </xf>
    <xf numFmtId="0" fontId="11" fillId="7" borderId="29" xfId="3" applyNumberFormat="1" applyFont="1" applyFill="1" applyBorder="1" applyAlignment="1">
      <alignment horizontal="left" vertical="center"/>
    </xf>
    <xf numFmtId="0" fontId="13" fillId="0" borderId="15" xfId="2" applyFont="1" applyBorder="1" applyAlignment="1">
      <alignment wrapText="1" shrinkToFit="1"/>
    </xf>
    <xf numFmtId="188" fontId="13" fillId="0" borderId="22" xfId="2" applyNumberFormat="1" applyFont="1" applyBorder="1" applyAlignment="1">
      <alignment horizontal="center"/>
    </xf>
    <xf numFmtId="187" fontId="11" fillId="7" borderId="0" xfId="3" applyFont="1" applyFill="1" applyAlignment="1">
      <alignment vertical="center"/>
    </xf>
    <xf numFmtId="0" fontId="11" fillId="7" borderId="0" xfId="3" applyNumberFormat="1" applyFont="1" applyFill="1" applyAlignment="1">
      <alignment horizontal="left" vertical="center"/>
    </xf>
    <xf numFmtId="187" fontId="11" fillId="7" borderId="0" xfId="3" applyFont="1" applyFill="1" applyAlignment="1"/>
    <xf numFmtId="49" fontId="13" fillId="0" borderId="15" xfId="2" applyNumberFormat="1" applyFont="1" applyBorder="1" applyAlignment="1">
      <alignment shrinkToFit="1"/>
    </xf>
    <xf numFmtId="187" fontId="3" fillId="7" borderId="0" xfId="3" applyFont="1" applyFill="1"/>
    <xf numFmtId="187" fontId="21" fillId="7" borderId="0" xfId="3" applyFont="1" applyFill="1" applyAlignment="1"/>
    <xf numFmtId="187" fontId="11" fillId="7" borderId="0" xfId="3" applyFont="1" applyFill="1" applyAlignment="1">
      <alignment vertical="center" wrapText="1"/>
    </xf>
    <xf numFmtId="0" fontId="11" fillId="7" borderId="0" xfId="3" applyNumberFormat="1" applyFont="1" applyFill="1" applyAlignment="1">
      <alignment horizontal="left" vertical="center" wrapText="1"/>
    </xf>
    <xf numFmtId="0" fontId="1" fillId="0" borderId="0" xfId="1" applyAlignment="1">
      <alignment wrapText="1"/>
    </xf>
    <xf numFmtId="0" fontId="7" fillId="0" borderId="0" xfId="2" applyFont="1" applyAlignment="1">
      <alignment wrapText="1"/>
    </xf>
    <xf numFmtId="0" fontId="18" fillId="0" borderId="10" xfId="1" applyFont="1" applyBorder="1" applyAlignment="1">
      <alignment vertical="center" shrinkToFit="1"/>
    </xf>
    <xf numFmtId="189" fontId="13" fillId="0" borderId="26" xfId="2" applyNumberFormat="1" applyFont="1" applyBorder="1" applyAlignment="1">
      <alignment horizontal="center"/>
    </xf>
    <xf numFmtId="187" fontId="14" fillId="0" borderId="14" xfId="3" applyFont="1" applyFill="1" applyBorder="1" applyAlignment="1"/>
    <xf numFmtId="49" fontId="20" fillId="7" borderId="0" xfId="3" applyNumberFormat="1" applyFont="1" applyFill="1" applyAlignment="1">
      <alignment horizontal="left" vertical="center"/>
    </xf>
    <xf numFmtId="187" fontId="7" fillId="8" borderId="29" xfId="3" applyFont="1" applyFill="1" applyBorder="1" applyAlignment="1"/>
    <xf numFmtId="0" fontId="7" fillId="8" borderId="29" xfId="2" applyFont="1" applyFill="1" applyBorder="1"/>
    <xf numFmtId="187" fontId="7" fillId="8" borderId="0" xfId="3" applyFont="1" applyFill="1" applyAlignment="1"/>
    <xf numFmtId="0" fontId="7" fillId="8" borderId="0" xfId="2" applyFont="1" applyFill="1"/>
    <xf numFmtId="0" fontId="22" fillId="8" borderId="0" xfId="2" applyFont="1" applyFill="1"/>
    <xf numFmtId="0" fontId="18" fillId="0" borderId="18" xfId="1" applyFont="1" applyBorder="1" applyAlignment="1">
      <alignment shrinkToFit="1"/>
    </xf>
    <xf numFmtId="187" fontId="13" fillId="3" borderId="3" xfId="3" applyFont="1" applyFill="1" applyBorder="1" applyAlignment="1"/>
    <xf numFmtId="187" fontId="7" fillId="9" borderId="0" xfId="3" applyFont="1" applyFill="1" applyAlignment="1"/>
    <xf numFmtId="0" fontId="7" fillId="9" borderId="0" xfId="2" applyFont="1" applyFill="1"/>
    <xf numFmtId="0" fontId="23" fillId="0" borderId="15" xfId="2" applyFont="1" applyBorder="1" applyAlignment="1">
      <alignment horizontal="center" shrinkToFit="1"/>
    </xf>
    <xf numFmtId="187" fontId="7" fillId="0" borderId="14" xfId="3" applyFont="1" applyFill="1" applyBorder="1" applyAlignment="1">
      <alignment vertical="center"/>
    </xf>
    <xf numFmtId="187" fontId="7" fillId="9" borderId="29" xfId="3" applyFont="1" applyFill="1" applyBorder="1" applyAlignment="1"/>
    <xf numFmtId="0" fontId="7" fillId="9" borderId="29" xfId="2" applyFont="1" applyFill="1" applyBorder="1"/>
    <xf numFmtId="187" fontId="13" fillId="0" borderId="36" xfId="3" applyFont="1" applyFill="1" applyBorder="1" applyAlignment="1"/>
    <xf numFmtId="188" fontId="13" fillId="0" borderId="9" xfId="2" applyNumberFormat="1" applyFont="1" applyBorder="1" applyAlignment="1">
      <alignment horizontal="center"/>
    </xf>
    <xf numFmtId="0" fontId="22" fillId="9" borderId="0" xfId="2" applyFont="1" applyFill="1"/>
    <xf numFmtId="187" fontId="24" fillId="0" borderId="14" xfId="3" applyFont="1" applyFill="1" applyBorder="1" applyAlignment="1">
      <alignment vertical="center"/>
    </xf>
    <xf numFmtId="0" fontId="17" fillId="0" borderId="15" xfId="2" applyFont="1" applyBorder="1" applyAlignment="1">
      <alignment shrinkToFit="1"/>
    </xf>
    <xf numFmtId="188" fontId="13" fillId="0" borderId="4" xfId="2" applyNumberFormat="1" applyFont="1" applyBorder="1" applyAlignment="1">
      <alignment horizontal="center"/>
    </xf>
    <xf numFmtId="187" fontId="11" fillId="10" borderId="29" xfId="3" applyFont="1" applyFill="1" applyBorder="1" applyAlignment="1">
      <alignment vertical="center"/>
    </xf>
    <xf numFmtId="49" fontId="11" fillId="10" borderId="29" xfId="3" applyNumberFormat="1" applyFont="1" applyFill="1" applyBorder="1" applyAlignment="1">
      <alignment horizontal="left" vertical="center"/>
    </xf>
    <xf numFmtId="187" fontId="11" fillId="10" borderId="0" xfId="3" applyFont="1" applyFill="1" applyAlignment="1">
      <alignment vertical="center"/>
    </xf>
    <xf numFmtId="49" fontId="11" fillId="10" borderId="0" xfId="3" applyNumberFormat="1" applyFont="1" applyFill="1" applyAlignment="1">
      <alignment horizontal="left" vertical="center"/>
    </xf>
    <xf numFmtId="187" fontId="17" fillId="3" borderId="3" xfId="3" applyFont="1" applyFill="1" applyBorder="1" applyAlignment="1"/>
    <xf numFmtId="187" fontId="17" fillId="0" borderId="3" xfId="3" applyFont="1" applyFill="1" applyBorder="1" applyAlignment="1"/>
    <xf numFmtId="0" fontId="17" fillId="0" borderId="2" xfId="2" applyFont="1" applyBorder="1" applyAlignment="1">
      <alignment shrinkToFit="1"/>
    </xf>
    <xf numFmtId="49" fontId="25" fillId="10" borderId="0" xfId="3" applyNumberFormat="1" applyFont="1" applyFill="1" applyAlignment="1">
      <alignment horizontal="left" vertical="center"/>
    </xf>
    <xf numFmtId="187" fontId="17" fillId="0" borderId="0" xfId="3" applyFont="1" applyAlignment="1"/>
    <xf numFmtId="190" fontId="17" fillId="0" borderId="0" xfId="3" applyNumberFormat="1" applyFont="1" applyAlignment="1"/>
    <xf numFmtId="187" fontId="26" fillId="11" borderId="29" xfId="3" applyFont="1" applyFill="1" applyBorder="1" applyAlignment="1"/>
    <xf numFmtId="0" fontId="26" fillId="11" borderId="29" xfId="2" applyFont="1" applyFill="1" applyBorder="1" applyAlignment="1">
      <alignment horizontal="left"/>
    </xf>
    <xf numFmtId="187" fontId="26" fillId="11" borderId="0" xfId="3" applyFont="1" applyFill="1" applyAlignment="1"/>
    <xf numFmtId="0" fontId="26" fillId="11" borderId="0" xfId="2" applyFont="1" applyFill="1" applyAlignment="1">
      <alignment horizontal="left"/>
    </xf>
    <xf numFmtId="187" fontId="7" fillId="0" borderId="29" xfId="3" applyFont="1" applyBorder="1" applyAlignment="1"/>
    <xf numFmtId="0" fontId="27" fillId="0" borderId="0" xfId="2" applyFont="1" applyAlignment="1">
      <alignment horizontal="center"/>
    </xf>
    <xf numFmtId="0" fontId="28" fillId="0" borderId="0" xfId="2" applyFont="1"/>
    <xf numFmtId="187" fontId="17" fillId="3" borderId="10" xfId="3" applyFont="1" applyFill="1" applyBorder="1" applyAlignment="1"/>
    <xf numFmtId="190" fontId="7" fillId="0" borderId="0" xfId="3" applyNumberFormat="1" applyFont="1" applyAlignment="1"/>
    <xf numFmtId="0" fontId="29" fillId="0" borderId="0" xfId="2" applyFont="1" applyAlignment="1">
      <alignment horizontal="center"/>
    </xf>
    <xf numFmtId="187" fontId="7" fillId="0" borderId="37" xfId="3" applyFont="1" applyBorder="1" applyAlignment="1"/>
    <xf numFmtId="0" fontId="27" fillId="0" borderId="3" xfId="2" applyFont="1" applyBorder="1" applyAlignment="1">
      <alignment horizontal="center"/>
    </xf>
    <xf numFmtId="188" fontId="13" fillId="0" borderId="38" xfId="2" applyNumberFormat="1" applyFont="1" applyBorder="1" applyAlignment="1">
      <alignment horizontal="left"/>
    </xf>
    <xf numFmtId="187" fontId="7" fillId="0" borderId="10" xfId="3" applyFont="1" applyBorder="1" applyAlignment="1"/>
    <xf numFmtId="0" fontId="7" fillId="0" borderId="10" xfId="2" applyFont="1" applyBorder="1"/>
    <xf numFmtId="0" fontId="29" fillId="0" borderId="10" xfId="2" applyFont="1" applyBorder="1" applyAlignment="1">
      <alignment horizontal="center"/>
    </xf>
    <xf numFmtId="187" fontId="7" fillId="0" borderId="30" xfId="3" applyFont="1" applyBorder="1" applyAlignment="1"/>
    <xf numFmtId="0" fontId="7" fillId="0" borderId="30" xfId="2" applyFont="1" applyBorder="1"/>
    <xf numFmtId="0" fontId="29" fillId="0" borderId="2" xfId="2" applyFont="1" applyBorder="1" applyAlignment="1">
      <alignment horizontal="center"/>
    </xf>
    <xf numFmtId="187" fontId="7" fillId="0" borderId="2" xfId="3" applyFont="1" applyBorder="1" applyAlignment="1"/>
    <xf numFmtId="0" fontId="7" fillId="0" borderId="2" xfId="2" applyFont="1" applyBorder="1"/>
    <xf numFmtId="0" fontId="29" fillId="0" borderId="15" xfId="2" applyFont="1" applyBorder="1" applyAlignment="1">
      <alignment horizontal="center"/>
    </xf>
    <xf numFmtId="187" fontId="29" fillId="0" borderId="37" xfId="2" applyNumberFormat="1" applyFont="1" applyBorder="1"/>
    <xf numFmtId="187" fontId="29" fillId="0" borderId="37" xfId="3" applyFont="1" applyBorder="1" applyAlignment="1"/>
    <xf numFmtId="0" fontId="29" fillId="0" borderId="20" xfId="2" applyFont="1" applyBorder="1" applyAlignment="1">
      <alignment horizontal="center"/>
    </xf>
    <xf numFmtId="0" fontId="29" fillId="0" borderId="39" xfId="2" applyFont="1" applyBorder="1" applyAlignment="1">
      <alignment horizontal="center"/>
    </xf>
    <xf numFmtId="188" fontId="13" fillId="0" borderId="40" xfId="2" applyNumberFormat="1" applyFont="1" applyBorder="1" applyAlignment="1">
      <alignment horizontal="left"/>
    </xf>
    <xf numFmtId="189" fontId="17" fillId="0" borderId="17" xfId="2" applyNumberFormat="1" applyFont="1" applyBorder="1" applyAlignment="1">
      <alignment horizontal="center"/>
    </xf>
    <xf numFmtId="0" fontId="7" fillId="0" borderId="10" xfId="2" applyFont="1" applyBorder="1" applyAlignment="1">
      <alignment shrinkToFit="1"/>
    </xf>
    <xf numFmtId="187" fontId="17" fillId="3" borderId="30" xfId="3" applyFont="1" applyFill="1" applyBorder="1" applyAlignment="1"/>
    <xf numFmtId="187" fontId="17" fillId="0" borderId="27" xfId="3" applyFont="1" applyFill="1" applyBorder="1" applyAlignment="1"/>
    <xf numFmtId="188" fontId="13" fillId="0" borderId="0" xfId="2" applyNumberFormat="1" applyFont="1" applyAlignment="1">
      <alignment horizontal="left"/>
    </xf>
    <xf numFmtId="189" fontId="17" fillId="0" borderId="23" xfId="2" applyNumberFormat="1" applyFont="1" applyBorder="1" applyAlignment="1">
      <alignment horizontal="center"/>
    </xf>
    <xf numFmtId="188" fontId="13" fillId="0" borderId="33" xfId="2" applyNumberFormat="1" applyFont="1" applyBorder="1" applyAlignment="1">
      <alignment horizontal="center"/>
    </xf>
    <xf numFmtId="0" fontId="7" fillId="0" borderId="30" xfId="3" applyNumberFormat="1" applyFont="1" applyBorder="1" applyAlignment="1">
      <alignment shrinkToFit="1"/>
    </xf>
    <xf numFmtId="0" fontId="7" fillId="0" borderId="2" xfId="2" applyFont="1" applyBorder="1" applyAlignment="1">
      <alignment horizontal="center"/>
    </xf>
    <xf numFmtId="189" fontId="17" fillId="0" borderId="11" xfId="2" applyNumberFormat="1" applyFont="1" applyBorder="1" applyAlignment="1">
      <alignment horizontal="center"/>
    </xf>
    <xf numFmtId="0" fontId="17" fillId="0" borderId="13" xfId="2" applyFont="1" applyBorder="1" applyAlignment="1">
      <alignment horizontal="center"/>
    </xf>
    <xf numFmtId="188" fontId="17" fillId="0" borderId="38" xfId="2" applyNumberFormat="1" applyFont="1" applyBorder="1" applyAlignment="1">
      <alignment horizontal="left"/>
    </xf>
    <xf numFmtId="188" fontId="17" fillId="0" borderId="22" xfId="2" applyNumberFormat="1" applyFont="1" applyBorder="1" applyAlignment="1">
      <alignment horizontal="center"/>
    </xf>
    <xf numFmtId="0" fontId="20" fillId="11" borderId="0" xfId="2" applyFont="1" applyFill="1" applyAlignment="1">
      <alignment horizontal="left"/>
    </xf>
    <xf numFmtId="0" fontId="7" fillId="0" borderId="2" xfId="2" applyFont="1" applyBorder="1" applyAlignment="1">
      <alignment shrinkToFit="1"/>
    </xf>
    <xf numFmtId="0" fontId="7" fillId="0" borderId="2" xfId="3" applyNumberFormat="1" applyFont="1" applyBorder="1" applyAlignment="1">
      <alignment shrinkToFit="1"/>
    </xf>
    <xf numFmtId="0" fontId="7" fillId="12" borderId="3" xfId="2" applyFont="1" applyFill="1" applyBorder="1" applyAlignment="1">
      <alignment horizontal="center"/>
    </xf>
    <xf numFmtId="188" fontId="17" fillId="0" borderId="11" xfId="2" applyNumberFormat="1" applyFont="1" applyBorder="1" applyAlignment="1">
      <alignment horizontal="left"/>
    </xf>
    <xf numFmtId="188" fontId="17" fillId="0" borderId="11" xfId="2" applyNumberFormat="1" applyFont="1" applyBorder="1" applyAlignment="1">
      <alignment horizontal="center"/>
    </xf>
    <xf numFmtId="0" fontId="7" fillId="12" borderId="27" xfId="2" applyFont="1" applyFill="1" applyBorder="1" applyAlignment="1">
      <alignment horizontal="center"/>
    </xf>
    <xf numFmtId="0" fontId="17" fillId="0" borderId="10" xfId="2" applyFont="1" applyBorder="1" applyAlignment="1">
      <alignment shrinkToFit="1"/>
    </xf>
    <xf numFmtId="188" fontId="17" fillId="0" borderId="9" xfId="2" applyNumberFormat="1" applyFont="1" applyBorder="1" applyAlignment="1">
      <alignment horizontal="left"/>
    </xf>
    <xf numFmtId="189" fontId="17" fillId="0" borderId="9" xfId="2" applyNumberFormat="1" applyFont="1" applyBorder="1" applyAlignment="1">
      <alignment horizontal="center"/>
    </xf>
    <xf numFmtId="188" fontId="17" fillId="0" borderId="9" xfId="2" applyNumberFormat="1" applyFont="1" applyBorder="1" applyAlignment="1">
      <alignment horizontal="center"/>
    </xf>
    <xf numFmtId="188" fontId="17" fillId="0" borderId="12" xfId="2" applyNumberFormat="1" applyFont="1" applyBorder="1" applyAlignment="1">
      <alignment horizontal="center"/>
    </xf>
    <xf numFmtId="187" fontId="31" fillId="0" borderId="2" xfId="3" applyFont="1" applyFill="1" applyBorder="1" applyAlignment="1"/>
    <xf numFmtId="0" fontId="17" fillId="0" borderId="2" xfId="2" applyFont="1" applyBorder="1" applyAlignment="1">
      <alignment horizontal="left" shrinkToFit="1"/>
    </xf>
    <xf numFmtId="16" fontId="17" fillId="0" borderId="13" xfId="2" applyNumberFormat="1" applyFont="1" applyBorder="1" applyAlignment="1">
      <alignment horizontal="center"/>
    </xf>
    <xf numFmtId="187" fontId="7" fillId="0" borderId="0" xfId="3" applyFont="1" applyAlignment="1">
      <alignment horizontal="center"/>
    </xf>
    <xf numFmtId="187" fontId="17" fillId="0" borderId="15" xfId="3" applyFont="1" applyFill="1" applyBorder="1" applyAlignment="1">
      <alignment vertical="center"/>
    </xf>
    <xf numFmtId="0" fontId="17" fillId="0" borderId="15" xfId="2" applyFont="1" applyBorder="1" applyAlignment="1">
      <alignment horizontal="left" shrinkToFit="1"/>
    </xf>
    <xf numFmtId="0" fontId="17" fillId="0" borderId="15" xfId="2" applyFont="1" applyBorder="1" applyAlignment="1">
      <alignment horizontal="left" vertical="center" shrinkToFit="1"/>
    </xf>
    <xf numFmtId="0" fontId="17" fillId="0" borderId="4" xfId="2" applyFont="1" applyBorder="1" applyAlignment="1">
      <alignment horizontal="left"/>
    </xf>
    <xf numFmtId="0" fontId="17" fillId="0" borderId="4" xfId="2" applyFont="1" applyBorder="1" applyAlignment="1">
      <alignment horizontal="center"/>
    </xf>
    <xf numFmtId="187" fontId="7" fillId="0" borderId="41" xfId="3" applyFont="1" applyBorder="1" applyAlignment="1">
      <alignment vertical="center"/>
    </xf>
    <xf numFmtId="187" fontId="13" fillId="0" borderId="0" xfId="2" applyNumberFormat="1" applyFont="1" applyAlignment="1">
      <alignment horizontal="center"/>
    </xf>
    <xf numFmtId="187" fontId="7" fillId="0" borderId="15" xfId="3" applyFont="1" applyBorder="1" applyAlignment="1"/>
    <xf numFmtId="0" fontId="7" fillId="0" borderId="15" xfId="2" applyFont="1" applyBorder="1"/>
    <xf numFmtId="0" fontId="15" fillId="0" borderId="0" xfId="2" applyFont="1" applyAlignment="1">
      <alignment horizontal="center"/>
    </xf>
    <xf numFmtId="187" fontId="7" fillId="12" borderId="27" xfId="3" applyFont="1" applyFill="1" applyBorder="1" applyAlignment="1">
      <alignment horizontal="center"/>
    </xf>
    <xf numFmtId="187" fontId="29" fillId="0" borderId="15" xfId="2" applyNumberFormat="1" applyFont="1" applyBorder="1" applyAlignment="1">
      <alignment horizontal="center"/>
    </xf>
    <xf numFmtId="0" fontId="29" fillId="0" borderId="15" xfId="2" applyFont="1" applyBorder="1" applyAlignment="1">
      <alignment horizontal="center"/>
    </xf>
    <xf numFmtId="187" fontId="29" fillId="0" borderId="0" xfId="2" applyNumberFormat="1" applyFont="1" applyAlignment="1">
      <alignment horizontal="center"/>
    </xf>
    <xf numFmtId="187" fontId="7" fillId="0" borderId="15" xfId="3" applyFont="1" applyBorder="1" applyAlignment="1">
      <alignment horizontal="center"/>
    </xf>
    <xf numFmtId="187" fontId="7" fillId="0" borderId="18" xfId="3" applyFont="1" applyBorder="1" applyAlignment="1"/>
    <xf numFmtId="0" fontId="7" fillId="0" borderId="18" xfId="2" applyFont="1" applyBorder="1" applyAlignment="1">
      <alignment horizontal="left" shrinkToFit="1"/>
    </xf>
    <xf numFmtId="0" fontId="7" fillId="0" borderId="15" xfId="2" applyFont="1" applyBorder="1" applyAlignment="1">
      <alignment horizontal="center"/>
    </xf>
    <xf numFmtId="187" fontId="7" fillId="0" borderId="42" xfId="3" applyFont="1" applyBorder="1" applyAlignment="1">
      <alignment vertical="center"/>
    </xf>
    <xf numFmtId="187" fontId="17" fillId="0" borderId="43" xfId="3" applyFont="1" applyFill="1" applyBorder="1" applyAlignment="1">
      <alignment vertical="center"/>
    </xf>
    <xf numFmtId="0" fontId="17" fillId="0" borderId="43" xfId="2" applyFont="1" applyBorder="1" applyAlignment="1">
      <alignment horizontal="center" shrinkToFit="1"/>
    </xf>
    <xf numFmtId="0" fontId="17" fillId="0" borderId="43" xfId="2" applyFont="1" applyBorder="1" applyAlignment="1">
      <alignment horizontal="left" shrinkToFit="1"/>
    </xf>
    <xf numFmtId="0" fontId="17" fillId="0" borderId="43" xfId="2" applyFont="1" applyBorder="1" applyAlignment="1">
      <alignment horizontal="left" vertical="center" shrinkToFit="1"/>
    </xf>
    <xf numFmtId="0" fontId="17" fillId="0" borderId="44" xfId="2" applyFont="1" applyBorder="1" applyAlignment="1">
      <alignment horizontal="left"/>
    </xf>
    <xf numFmtId="49" fontId="17" fillId="0" borderId="44" xfId="2" applyNumberFormat="1" applyFont="1" applyBorder="1" applyAlignment="1">
      <alignment horizontal="center"/>
    </xf>
    <xf numFmtId="0" fontId="17" fillId="0" borderId="44" xfId="2" applyFont="1" applyBorder="1" applyAlignment="1">
      <alignment horizontal="center"/>
    </xf>
    <xf numFmtId="0" fontId="17" fillId="0" borderId="45" xfId="2" applyFont="1" applyBorder="1" applyAlignment="1">
      <alignment horizontal="center"/>
    </xf>
    <xf numFmtId="0" fontId="16" fillId="0" borderId="0" xfId="2" applyFont="1"/>
    <xf numFmtId="0" fontId="22" fillId="12" borderId="36" xfId="2" applyFont="1" applyFill="1" applyBorder="1" applyAlignment="1">
      <alignment horizontal="center"/>
    </xf>
    <xf numFmtId="0" fontId="33" fillId="13" borderId="1" xfId="2" applyFont="1" applyFill="1" applyBorder="1" applyAlignment="1">
      <alignment horizontal="center"/>
    </xf>
    <xf numFmtId="0" fontId="27" fillId="13" borderId="1" xfId="2" applyFont="1" applyFill="1" applyBorder="1" applyAlignment="1">
      <alignment horizontal="center"/>
    </xf>
    <xf numFmtId="0" fontId="27" fillId="14" borderId="0" xfId="2" applyFont="1" applyFill="1" applyAlignment="1">
      <alignment horizontal="center"/>
    </xf>
    <xf numFmtId="187" fontId="16" fillId="13" borderId="1" xfId="3" applyFont="1" applyFill="1" applyBorder="1" applyAlignment="1">
      <alignment horizontal="center"/>
    </xf>
    <xf numFmtId="0" fontId="16" fillId="0" borderId="46" xfId="2" applyFont="1" applyBorder="1" applyAlignment="1">
      <alignment horizontal="center" vertical="center"/>
    </xf>
    <xf numFmtId="0" fontId="34" fillId="0" borderId="47" xfId="2" applyFont="1" applyBorder="1" applyAlignment="1">
      <alignment horizontal="center" vertical="center"/>
    </xf>
    <xf numFmtId="0" fontId="34" fillId="0" borderId="48" xfId="2" applyFont="1" applyBorder="1" applyAlignment="1">
      <alignment horizontal="center" shrinkToFit="1"/>
    </xf>
    <xf numFmtId="0" fontId="34" fillId="0" borderId="49" xfId="2" applyFont="1" applyBorder="1" applyAlignment="1">
      <alignment horizontal="center" shrinkToFit="1"/>
    </xf>
    <xf numFmtId="49" fontId="34" fillId="0" borderId="50" xfId="2" applyNumberFormat="1" applyFont="1" applyBorder="1" applyAlignment="1">
      <alignment horizontal="center"/>
    </xf>
    <xf numFmtId="0" fontId="34" fillId="0" borderId="51" xfId="2" applyFont="1" applyBorder="1" applyAlignment="1">
      <alignment horizontal="center" vertical="center"/>
    </xf>
    <xf numFmtId="0" fontId="16" fillId="0" borderId="0" xfId="2" applyFont="1" applyAlignment="1">
      <alignment horizontal="center"/>
    </xf>
    <xf numFmtId="0" fontId="35" fillId="0" borderId="0" xfId="2" applyFont="1" applyAlignment="1">
      <alignment horizontal="left"/>
    </xf>
    <xf numFmtId="0" fontId="16" fillId="0" borderId="52" xfId="2" applyFont="1" applyBorder="1" applyAlignment="1">
      <alignment horizontal="center"/>
    </xf>
    <xf numFmtId="0" fontId="7" fillId="2" borderId="0" xfId="2" applyFont="1" applyFill="1"/>
    <xf numFmtId="0" fontId="7" fillId="2" borderId="0" xfId="2" applyFont="1" applyFill="1" applyAlignment="1">
      <alignment horizontal="center"/>
    </xf>
    <xf numFmtId="0" fontId="34" fillId="7" borderId="47" xfId="2" applyFont="1" applyFill="1" applyBorder="1" applyAlignment="1">
      <alignment horizontal="center" vertical="center" shrinkToFit="1"/>
    </xf>
    <xf numFmtId="187" fontId="3" fillId="0" borderId="1" xfId="3" applyFont="1" applyBorder="1"/>
    <xf numFmtId="0" fontId="11" fillId="0" borderId="1" xfId="2" applyFont="1" applyBorder="1" applyAlignment="1">
      <alignment horizontal="center"/>
    </xf>
    <xf numFmtId="0" fontId="3" fillId="7" borderId="1" xfId="1" applyFont="1" applyFill="1" applyBorder="1" applyAlignment="1">
      <alignment horizontal="left"/>
    </xf>
    <xf numFmtId="187" fontId="3" fillId="7" borderId="1" xfId="3" applyFont="1" applyFill="1" applyBorder="1"/>
    <xf numFmtId="0" fontId="3" fillId="15" borderId="1" xfId="1" applyFont="1" applyFill="1" applyBorder="1" applyAlignment="1">
      <alignment horizontal="left"/>
    </xf>
    <xf numFmtId="187" fontId="3" fillId="15" borderId="1" xfId="3" applyFont="1" applyFill="1" applyBorder="1"/>
    <xf numFmtId="0" fontId="3" fillId="16" borderId="1" xfId="1" applyFont="1" applyFill="1" applyBorder="1" applyAlignment="1">
      <alignment horizontal="left"/>
    </xf>
    <xf numFmtId="187" fontId="3" fillId="16" borderId="1" xfId="3" applyFont="1" applyFill="1" applyBorder="1"/>
    <xf numFmtId="0" fontId="3" fillId="17" borderId="1" xfId="1" applyFont="1" applyFill="1" applyBorder="1" applyAlignment="1">
      <alignment horizontal="left"/>
    </xf>
    <xf numFmtId="187" fontId="3" fillId="17" borderId="1" xfId="3" applyFont="1" applyFill="1" applyBorder="1"/>
    <xf numFmtId="0" fontId="3" fillId="11" borderId="1" xfId="1" applyFont="1" applyFill="1" applyBorder="1" applyAlignment="1">
      <alignment horizontal="left"/>
    </xf>
    <xf numFmtId="187" fontId="3" fillId="11" borderId="1" xfId="3" applyFont="1" applyFill="1" applyBorder="1"/>
    <xf numFmtId="0" fontId="17" fillId="0" borderId="30" xfId="2" applyFont="1" applyBorder="1" applyAlignment="1">
      <alignment horizontal="center" shrinkToFit="1"/>
    </xf>
    <xf numFmtId="0" fontId="3" fillId="0" borderId="53" xfId="1" applyFont="1" applyBorder="1" applyAlignment="1">
      <alignment horizontal="left"/>
    </xf>
    <xf numFmtId="0" fontId="3" fillId="0" borderId="3" xfId="1" applyFont="1" applyBorder="1" applyAlignment="1">
      <alignment horizontal="left"/>
    </xf>
    <xf numFmtId="0" fontId="3" fillId="9" borderId="1" xfId="1" applyFont="1" applyFill="1" applyBorder="1" applyAlignment="1">
      <alignment horizontal="left"/>
    </xf>
    <xf numFmtId="187" fontId="3" fillId="9" borderId="1" xfId="3" applyFont="1" applyFill="1" applyBorder="1"/>
    <xf numFmtId="0" fontId="11" fillId="0" borderId="1" xfId="2" applyFont="1" applyBorder="1"/>
    <xf numFmtId="187" fontId="3" fillId="0" borderId="3" xfId="3" applyFont="1" applyBorder="1"/>
    <xf numFmtId="187" fontId="0" fillId="0" borderId="0" xfId="3" applyFont="1"/>
    <xf numFmtId="187" fontId="7" fillId="0" borderId="54" xfId="2" applyNumberFormat="1" applyFont="1" applyBorder="1"/>
    <xf numFmtId="0" fontId="37" fillId="0" borderId="0" xfId="4" applyFont="1" applyAlignment="1">
      <alignment vertical="center"/>
    </xf>
    <xf numFmtId="0" fontId="37" fillId="0" borderId="55" xfId="4" applyFont="1" applyBorder="1" applyAlignment="1">
      <alignment horizontal="center" vertical="center"/>
    </xf>
    <xf numFmtId="0" fontId="38" fillId="0" borderId="55" xfId="4" applyFont="1" applyBorder="1" applyAlignment="1">
      <alignment horizontal="center" vertical="center"/>
    </xf>
    <xf numFmtId="0" fontId="39" fillId="0" borderId="56" xfId="4" applyFont="1" applyBorder="1" applyAlignment="1">
      <alignment horizontal="center" vertical="center"/>
    </xf>
    <xf numFmtId="0" fontId="39" fillId="0" borderId="57" xfId="4" applyFont="1" applyBorder="1" applyAlignment="1">
      <alignment horizontal="center" vertical="center"/>
    </xf>
    <xf numFmtId="0" fontId="39" fillId="0" borderId="58" xfId="4" applyFont="1" applyBorder="1" applyAlignment="1">
      <alignment horizontal="center" vertical="center"/>
    </xf>
    <xf numFmtId="0" fontId="40" fillId="0" borderId="0" xfId="4" applyFont="1" applyAlignment="1">
      <alignment vertical="center"/>
    </xf>
    <xf numFmtId="0" fontId="41" fillId="0" borderId="0" xfId="4" applyFont="1" applyAlignment="1">
      <alignment horizontal="right" vertical="center"/>
    </xf>
    <xf numFmtId="0" fontId="11" fillId="0" borderId="59" xfId="4" applyFont="1" applyBorder="1" applyAlignment="1">
      <alignment horizontal="center" vertical="center"/>
    </xf>
    <xf numFmtId="0" fontId="41" fillId="0" borderId="0" xfId="4" applyFont="1" applyAlignment="1">
      <alignment horizontal="center" vertical="center"/>
    </xf>
    <xf numFmtId="0" fontId="11" fillId="0" borderId="60" xfId="4" applyFont="1" applyBorder="1" applyAlignment="1">
      <alignment horizontal="left" vertical="center"/>
    </xf>
    <xf numFmtId="0" fontId="41" fillId="0" borderId="0" xfId="4" applyFont="1" applyAlignment="1">
      <alignment vertical="center"/>
    </xf>
    <xf numFmtId="191" fontId="11" fillId="0" borderId="60" xfId="4" applyNumberFormat="1" applyFont="1" applyBorder="1" applyAlignment="1">
      <alignment horizontal="center" vertical="center"/>
    </xf>
    <xf numFmtId="0" fontId="42" fillId="0" borderId="0" xfId="4" applyFont="1" applyAlignment="1">
      <alignment horizontal="right" vertical="center"/>
    </xf>
    <xf numFmtId="0" fontId="42" fillId="0" borderId="0" xfId="4" applyFont="1" applyAlignment="1">
      <alignment horizontal="center" vertical="center"/>
    </xf>
    <xf numFmtId="0" fontId="41" fillId="0" borderId="0" xfId="4" applyFont="1" applyAlignment="1">
      <alignment horizontal="left" vertical="center" shrinkToFit="1"/>
    </xf>
    <xf numFmtId="39" fontId="11" fillId="0" borderId="60" xfId="5" applyNumberFormat="1" applyFont="1" applyBorder="1" applyAlignment="1">
      <alignment horizontal="center" vertical="center" shrinkToFit="1"/>
    </xf>
    <xf numFmtId="0" fontId="43" fillId="0" borderId="0" xfId="4" applyFont="1" applyAlignment="1">
      <alignment horizontal="center" vertical="center" shrinkToFit="1"/>
    </xf>
    <xf numFmtId="0" fontId="36" fillId="0" borderId="60" xfId="4" applyBorder="1" applyAlignment="1">
      <alignment horizontal="center" vertical="center" shrinkToFit="1"/>
    </xf>
    <xf numFmtId="0" fontId="36" fillId="0" borderId="0" xfId="4" applyAlignment="1">
      <alignment vertical="center" shrinkToFit="1"/>
    </xf>
    <xf numFmtId="0" fontId="36" fillId="0" borderId="60" xfId="4" applyBorder="1" applyAlignment="1">
      <alignment horizontal="center" vertical="center" shrinkToFit="1"/>
    </xf>
    <xf numFmtId="0" fontId="11" fillId="0" borderId="60" xfId="4" applyFont="1" applyBorder="1" applyAlignment="1">
      <alignment horizontal="center" vertical="center" shrinkToFit="1"/>
    </xf>
    <xf numFmtId="0" fontId="42" fillId="0" borderId="60" xfId="4" applyFont="1" applyBorder="1" applyAlignment="1">
      <alignment horizontal="center" vertical="center"/>
    </xf>
    <xf numFmtId="39" fontId="42" fillId="0" borderId="0" xfId="5" applyNumberFormat="1" applyFont="1" applyAlignment="1">
      <alignment horizontal="center" vertical="center"/>
    </xf>
    <xf numFmtId="0" fontId="42" fillId="0" borderId="60" xfId="4" applyFont="1" applyBorder="1" applyAlignment="1">
      <alignment horizontal="center" vertical="center"/>
    </xf>
    <xf numFmtId="0" fontId="42" fillId="0" borderId="0" xfId="4" applyFont="1" applyAlignment="1">
      <alignment vertical="center"/>
    </xf>
    <xf numFmtId="0" fontId="42" fillId="0" borderId="0" xfId="4" applyFont="1" applyAlignment="1">
      <alignment horizontal="center" vertical="center"/>
    </xf>
    <xf numFmtId="49" fontId="42" fillId="0" borderId="0" xfId="4" applyNumberFormat="1" applyFont="1" applyAlignment="1">
      <alignment horizontal="center" vertical="center"/>
    </xf>
    <xf numFmtId="0" fontId="41" fillId="0" borderId="61" xfId="4" applyFont="1" applyBorder="1" applyAlignment="1">
      <alignment horizontal="center" vertical="center" wrapText="1"/>
    </xf>
    <xf numFmtId="0" fontId="41" fillId="0" borderId="62" xfId="4" applyFont="1" applyBorder="1" applyAlignment="1">
      <alignment horizontal="center" vertical="center" wrapText="1"/>
    </xf>
    <xf numFmtId="0" fontId="41" fillId="0" borderId="63" xfId="4" applyFont="1" applyBorder="1" applyAlignment="1">
      <alignment horizontal="center" vertical="center" wrapText="1"/>
    </xf>
    <xf numFmtId="0" fontId="41" fillId="0" borderId="64" xfId="4" applyFont="1" applyBorder="1" applyAlignment="1">
      <alignment horizontal="center" vertical="center" wrapText="1"/>
    </xf>
    <xf numFmtId="0" fontId="42" fillId="0" borderId="65" xfId="4" applyFont="1" applyBorder="1" applyAlignment="1">
      <alignment horizontal="center" vertical="center" wrapText="1"/>
    </xf>
    <xf numFmtId="0" fontId="42" fillId="0" borderId="60" xfId="4" applyFont="1" applyBorder="1" applyAlignment="1">
      <alignment horizontal="center" vertical="center" wrapText="1"/>
    </xf>
    <xf numFmtId="0" fontId="42" fillId="0" borderId="66" xfId="4" applyFont="1" applyBorder="1" applyAlignment="1">
      <alignment horizontal="center" vertical="center" wrapText="1"/>
    </xf>
    <xf numFmtId="0" fontId="42" fillId="0" borderId="67" xfId="4" applyFont="1" applyBorder="1" applyAlignment="1">
      <alignment horizontal="center" vertical="center" wrapText="1"/>
    </xf>
    <xf numFmtId="49" fontId="11" fillId="0" borderId="68" xfId="4" applyNumberFormat="1" applyFont="1" applyBorder="1" applyAlignment="1">
      <alignment horizontal="center" vertical="center" shrinkToFit="1"/>
    </xf>
    <xf numFmtId="49" fontId="11" fillId="0" borderId="69" xfId="4" applyNumberFormat="1" applyFont="1" applyBorder="1" applyAlignment="1">
      <alignment horizontal="center" vertical="center" shrinkToFit="1"/>
    </xf>
    <xf numFmtId="49" fontId="11" fillId="0" borderId="70" xfId="4" applyNumberFormat="1" applyFont="1" applyBorder="1" applyAlignment="1">
      <alignment horizontal="center" vertical="center" shrinkToFit="1"/>
    </xf>
    <xf numFmtId="0" fontId="11" fillId="0" borderId="68" xfId="4" applyFont="1" applyBorder="1" applyAlignment="1">
      <alignment horizontal="center" vertical="center" shrinkToFit="1"/>
    </xf>
    <xf numFmtId="0" fontId="11" fillId="0" borderId="69" xfId="4" applyFont="1" applyBorder="1" applyAlignment="1">
      <alignment horizontal="center" vertical="center" shrinkToFit="1"/>
    </xf>
    <xf numFmtId="0" fontId="11" fillId="0" borderId="70" xfId="4" applyFont="1" applyBorder="1" applyAlignment="1">
      <alignment horizontal="center" vertical="center" shrinkToFit="1"/>
    </xf>
    <xf numFmtId="0" fontId="11" fillId="0" borderId="68" xfId="4" applyFont="1" applyBorder="1" applyAlignment="1">
      <alignment horizontal="left" vertical="center" shrinkToFit="1"/>
    </xf>
    <xf numFmtId="0" fontId="11" fillId="0" borderId="69" xfId="4" applyFont="1" applyBorder="1" applyAlignment="1">
      <alignment horizontal="left" vertical="center" shrinkToFit="1"/>
    </xf>
    <xf numFmtId="0" fontId="11" fillId="0" borderId="70" xfId="4" applyFont="1" applyBorder="1" applyAlignment="1">
      <alignment horizontal="left" vertical="center" shrinkToFit="1"/>
    </xf>
    <xf numFmtId="187" fontId="11" fillId="0" borderId="71" xfId="3" applyFont="1" applyBorder="1" applyAlignment="1">
      <alignment vertical="center" shrinkToFit="1"/>
    </xf>
    <xf numFmtId="49" fontId="11" fillId="0" borderId="72" xfId="4" applyNumberFormat="1" applyFont="1" applyBorder="1" applyAlignment="1">
      <alignment horizontal="center" vertical="center" shrinkToFit="1"/>
    </xf>
    <xf numFmtId="49" fontId="11" fillId="0" borderId="73" xfId="4" applyNumberFormat="1" applyFont="1" applyBorder="1" applyAlignment="1">
      <alignment horizontal="center" vertical="center" shrinkToFit="1"/>
    </xf>
    <xf numFmtId="49" fontId="11" fillId="0" borderId="74" xfId="4" applyNumberFormat="1" applyFont="1" applyBorder="1" applyAlignment="1">
      <alignment horizontal="center" vertical="center" shrinkToFit="1"/>
    </xf>
    <xf numFmtId="0" fontId="11" fillId="0" borderId="72" xfId="4" applyFont="1" applyBorder="1" applyAlignment="1">
      <alignment horizontal="center" vertical="center" shrinkToFit="1"/>
    </xf>
    <xf numFmtId="0" fontId="11" fillId="0" borderId="73" xfId="4" applyFont="1" applyBorder="1" applyAlignment="1">
      <alignment horizontal="center" vertical="center" shrinkToFit="1"/>
    </xf>
    <xf numFmtId="0" fontId="11" fillId="0" borderId="74" xfId="4" applyFont="1" applyBorder="1" applyAlignment="1">
      <alignment horizontal="center" vertical="center" shrinkToFit="1"/>
    </xf>
    <xf numFmtId="0" fontId="11" fillId="0" borderId="72" xfId="4" applyFont="1" applyBorder="1" applyAlignment="1">
      <alignment horizontal="left" vertical="center" shrinkToFit="1"/>
    </xf>
    <xf numFmtId="0" fontId="11" fillId="0" borderId="73" xfId="4" applyFont="1" applyBorder="1" applyAlignment="1">
      <alignment horizontal="left" vertical="center" shrinkToFit="1"/>
    </xf>
    <xf numFmtId="0" fontId="11" fillId="0" borderId="74" xfId="4" applyFont="1" applyBorder="1" applyAlignment="1">
      <alignment horizontal="left" vertical="center" shrinkToFit="1"/>
    </xf>
    <xf numFmtId="187" fontId="11" fillId="0" borderId="75" xfId="3" applyFont="1" applyBorder="1" applyAlignment="1">
      <alignment vertical="center" shrinkToFit="1"/>
    </xf>
    <xf numFmtId="49" fontId="11" fillId="0" borderId="76" xfId="4" applyNumberFormat="1" applyFont="1" applyBorder="1" applyAlignment="1">
      <alignment horizontal="center" vertical="center" shrinkToFit="1"/>
    </xf>
    <xf numFmtId="49" fontId="11" fillId="0" borderId="77" xfId="4" applyNumberFormat="1" applyFont="1" applyBorder="1" applyAlignment="1">
      <alignment horizontal="center" vertical="center" shrinkToFit="1"/>
    </xf>
    <xf numFmtId="49" fontId="11" fillId="0" borderId="78" xfId="4" applyNumberFormat="1" applyFont="1" applyBorder="1" applyAlignment="1">
      <alignment horizontal="center" vertical="center" shrinkToFit="1"/>
    </xf>
    <xf numFmtId="0" fontId="11" fillId="0" borderId="76" xfId="4" applyFont="1" applyBorder="1" applyAlignment="1">
      <alignment horizontal="center" vertical="center" shrinkToFit="1"/>
    </xf>
    <xf numFmtId="0" fontId="11" fillId="0" borderId="77" xfId="4" applyFont="1" applyBorder="1" applyAlignment="1">
      <alignment horizontal="center" vertical="center" shrinkToFit="1"/>
    </xf>
    <xf numFmtId="0" fontId="11" fillId="0" borderId="78" xfId="4" applyFont="1" applyBorder="1" applyAlignment="1">
      <alignment horizontal="center" vertical="center" shrinkToFit="1"/>
    </xf>
    <xf numFmtId="0" fontId="11" fillId="0" borderId="76" xfId="4" applyFont="1" applyBorder="1" applyAlignment="1">
      <alignment horizontal="left" vertical="center" shrinkToFit="1"/>
    </xf>
    <xf numFmtId="0" fontId="11" fillId="0" borderId="77" xfId="4" applyFont="1" applyBorder="1" applyAlignment="1">
      <alignment horizontal="left" vertical="center" shrinkToFit="1"/>
    </xf>
    <xf numFmtId="0" fontId="11" fillId="0" borderId="78" xfId="4" applyFont="1" applyBorder="1" applyAlignment="1">
      <alignment horizontal="left" vertical="center" shrinkToFit="1"/>
    </xf>
    <xf numFmtId="187" fontId="11" fillId="0" borderId="79" xfId="3" applyFont="1" applyBorder="1" applyAlignment="1">
      <alignment vertical="center" shrinkToFit="1"/>
    </xf>
    <xf numFmtId="187" fontId="11" fillId="0" borderId="80" xfId="4" applyNumberFormat="1" applyFont="1" applyBorder="1" applyAlignment="1">
      <alignment vertical="center"/>
    </xf>
    <xf numFmtId="187" fontId="41" fillId="0" borderId="0" xfId="4" applyNumberFormat="1" applyFont="1" applyAlignment="1">
      <alignment horizontal="center" vertical="center"/>
    </xf>
    <xf numFmtId="0" fontId="41" fillId="0" borderId="0" xfId="4" applyFont="1" applyAlignment="1">
      <alignment horizontal="center" vertical="center"/>
    </xf>
    <xf numFmtId="0" fontId="11" fillId="0" borderId="81" xfId="4" applyFont="1" applyBorder="1" applyAlignment="1">
      <alignment horizontal="center" vertical="center"/>
    </xf>
    <xf numFmtId="0" fontId="11" fillId="0" borderId="82" xfId="4" applyFont="1" applyBorder="1" applyAlignment="1">
      <alignment horizontal="center" vertical="center"/>
    </xf>
    <xf numFmtId="0" fontId="11" fillId="0" borderId="83" xfId="4" applyFont="1" applyBorder="1" applyAlignment="1">
      <alignment horizontal="center" vertical="center"/>
    </xf>
    <xf numFmtId="0" fontId="41" fillId="0" borderId="60" xfId="4" applyFont="1" applyBorder="1" applyAlignment="1">
      <alignment horizontal="center" vertical="center"/>
    </xf>
    <xf numFmtId="0" fontId="11" fillId="0" borderId="60" xfId="4" applyFont="1" applyBorder="1" applyAlignment="1">
      <alignment horizontal="center" vertical="center"/>
    </xf>
    <xf numFmtId="0" fontId="41" fillId="0" borderId="60" xfId="4" applyFont="1" applyBorder="1" applyAlignment="1">
      <alignment vertical="center"/>
    </xf>
    <xf numFmtId="0" fontId="42" fillId="0" borderId="0" xfId="4" applyFont="1" applyAlignment="1">
      <alignment horizontal="left" vertical="center"/>
    </xf>
    <xf numFmtId="0" fontId="43" fillId="0" borderId="0" xfId="4" applyFont="1" applyAlignment="1">
      <alignment horizontal="center" vertical="center"/>
    </xf>
    <xf numFmtId="0" fontId="43" fillId="0" borderId="0" xfId="4" applyFont="1" applyAlignment="1">
      <alignment vertical="center"/>
    </xf>
    <xf numFmtId="191" fontId="41" fillId="0" borderId="60" xfId="4" applyNumberFormat="1" applyFont="1" applyBorder="1" applyAlignment="1">
      <alignment horizontal="center" vertical="center"/>
    </xf>
    <xf numFmtId="191" fontId="11" fillId="0" borderId="60" xfId="4" applyNumberFormat="1" applyFont="1" applyBorder="1" applyAlignment="1">
      <alignment horizontal="center" vertical="center"/>
    </xf>
    <xf numFmtId="191" fontId="41" fillId="0" borderId="60" xfId="4" applyNumberFormat="1" applyFont="1" applyBorder="1" applyAlignment="1">
      <alignment vertical="center"/>
    </xf>
    <xf numFmtId="0" fontId="43" fillId="0" borderId="84" xfId="4" applyFont="1" applyBorder="1" applyAlignment="1">
      <alignment vertical="center"/>
    </xf>
    <xf numFmtId="0" fontId="44" fillId="0" borderId="1" xfId="0" applyFont="1" applyBorder="1" applyAlignment="1">
      <alignment horizontal="center"/>
    </xf>
    <xf numFmtId="187" fontId="44" fillId="0" borderId="1" xfId="3" applyFont="1" applyFill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36" fillId="0" borderId="1" xfId="0" applyFont="1" applyBorder="1" applyAlignment="1">
      <alignment horizontal="left"/>
    </xf>
    <xf numFmtId="187" fontId="36" fillId="0" borderId="1" xfId="3" applyFont="1" applyFill="1" applyBorder="1" applyAlignment="1">
      <alignment horizontal="center"/>
    </xf>
    <xf numFmtId="0" fontId="8" fillId="0" borderId="1" xfId="0" applyFont="1" applyBorder="1"/>
    <xf numFmtId="187" fontId="8" fillId="0" borderId="1" xfId="3" applyFont="1" applyFill="1" applyBorder="1"/>
    <xf numFmtId="0" fontId="8" fillId="7" borderId="1" xfId="0" applyFont="1" applyFill="1" applyBorder="1"/>
    <xf numFmtId="0" fontId="8" fillId="0" borderId="0" xfId="0" applyFont="1"/>
    <xf numFmtId="0" fontId="8" fillId="0" borderId="1" xfId="3" applyNumberFormat="1" applyFont="1" applyFill="1" applyBorder="1"/>
    <xf numFmtId="0" fontId="8" fillId="0" borderId="39" xfId="0" applyFont="1" applyBorder="1"/>
    <xf numFmtId="0" fontId="36" fillId="0" borderId="36" xfId="0" applyFont="1" applyBorder="1" applyAlignment="1">
      <alignment horizontal="center"/>
    </xf>
    <xf numFmtId="0" fontId="36" fillId="0" borderId="37" xfId="0" applyFont="1" applyBorder="1" applyAlignment="1">
      <alignment horizontal="center"/>
    </xf>
    <xf numFmtId="0" fontId="8" fillId="0" borderId="37" xfId="0" applyFont="1" applyBorder="1"/>
    <xf numFmtId="187" fontId="8" fillId="0" borderId="6" xfId="3" applyFont="1" applyFill="1" applyBorder="1"/>
    <xf numFmtId="187" fontId="36" fillId="0" borderId="6" xfId="3" applyFont="1" applyFill="1" applyBorder="1" applyAlignment="1">
      <alignment horizontal="center"/>
    </xf>
  </cellXfs>
  <cellStyles count="6">
    <cellStyle name="จุลภาค 2" xfId="3" xr:uid="{35EB6FD9-2561-4E94-97DB-F0055C051BBA}"/>
    <cellStyle name="จุลภาค 3" xfId="5" xr:uid="{B75D3C85-AD07-4E46-BC71-2D753D611CAA}"/>
    <cellStyle name="ปกติ" xfId="0" builtinId="0"/>
    <cellStyle name="ปกติ 2" xfId="2" xr:uid="{7425C3C2-6035-476E-8240-FD4CDCC7C6B6}"/>
    <cellStyle name="ปกติ 2 2" xfId="4" xr:uid="{080C8A76-369A-409A-AF91-35A476E59EC6}"/>
    <cellStyle name="ปกติ 3" xfId="1" xr:uid="{39F5B44B-6A34-4711-A085-87B697B3ADE3}"/>
  </cellStyles>
  <dxfs count="51">
    <dxf>
      <fill>
        <patternFill patternType="solid">
          <bgColor theme="9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rgb="FFFF66FF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rgb="FFCCCC00"/>
        </patternFill>
      </fill>
    </dxf>
    <dxf>
      <fill>
        <patternFill patternType="solid">
          <bgColor rgb="FFCCCC00"/>
        </patternFill>
      </fill>
    </dxf>
    <dxf>
      <fill>
        <patternFill patternType="solid">
          <bgColor rgb="FFCCCC00"/>
        </patternFill>
      </fill>
    </dxf>
    <dxf>
      <fill>
        <patternFill patternType="solid">
          <bgColor rgb="FFCCCC00"/>
        </patternFill>
      </fill>
    </dxf>
    <dxf>
      <fill>
        <patternFill patternType="solid">
          <bgColor rgb="FFCCCC00"/>
        </patternFill>
      </fill>
    </dxf>
    <dxf>
      <fill>
        <patternFill patternType="solid">
          <bgColor rgb="FFCCCC00"/>
        </patternFill>
      </fill>
    </dxf>
    <dxf>
      <fill>
        <patternFill patternType="solid">
          <bgColor rgb="FFCCCC00"/>
        </patternFill>
      </fill>
    </dxf>
    <dxf>
      <fill>
        <patternFill patternType="solid">
          <bgColor rgb="FFCCCC00"/>
        </patternFill>
      </fill>
    </dxf>
    <dxf>
      <fill>
        <patternFill patternType="solid">
          <bgColor rgb="FFCCCC00"/>
        </patternFill>
      </fill>
    </dxf>
    <dxf>
      <fill>
        <patternFill patternType="solid">
          <bgColor rgb="FFCCCC00"/>
        </patternFill>
      </fill>
    </dxf>
    <dxf>
      <fill>
        <patternFill patternType="solid">
          <bgColor rgb="FFCCCC00"/>
        </patternFill>
      </fill>
    </dxf>
    <dxf>
      <fill>
        <patternFill patternType="solid">
          <bgColor rgb="FFCCCC00"/>
        </patternFill>
      </fill>
    </dxf>
    <dxf>
      <fill>
        <patternFill patternType="solid">
          <bgColor rgb="FFCCCC00"/>
        </patternFill>
      </fill>
    </dxf>
    <dxf>
      <font>
        <name val="Cordia New"/>
        <scheme val="none"/>
      </font>
    </dxf>
    <dxf>
      <font>
        <name val="Cordia New"/>
        <scheme val="none"/>
      </font>
    </dxf>
    <dxf>
      <font>
        <name val="Cordia New"/>
        <scheme val="none"/>
      </font>
    </dxf>
    <dxf>
      <font>
        <name val="Cordia New"/>
        <scheme val="none"/>
      </font>
    </dxf>
    <dxf>
      <font>
        <name val="Cordia New"/>
        <scheme val="none"/>
      </font>
    </dxf>
    <dxf>
      <font>
        <name val="Cordia New"/>
        <scheme val="none"/>
      </font>
    </dxf>
    <dxf>
      <font>
        <name val="Cordia New"/>
        <scheme val="none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  <horizontal style="thin">
          <color indexed="64"/>
        </horizontal>
      </border>
    </dxf>
    <dxf>
      <border>
        <bottom style="thin">
          <color indexed="64"/>
        </bottom>
        <horizontal style="thin">
          <color indexed="64"/>
        </horizontal>
      </border>
    </dxf>
    <dxf>
      <border>
        <bottom style="thin">
          <color indexed="64"/>
        </bottom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337457</xdr:colOff>
      <xdr:row>0</xdr:row>
      <xdr:rowOff>38100</xdr:rowOff>
    </xdr:from>
    <xdr:ext cx="1529443" cy="320152"/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E4F1C480-68BC-420C-B992-67B8CBFD9254}"/>
            </a:ext>
          </a:extLst>
        </xdr:cNvPr>
        <xdr:cNvSpPr txBox="1"/>
      </xdr:nvSpPr>
      <xdr:spPr>
        <a:xfrm>
          <a:off x="7871732" y="38100"/>
          <a:ext cx="1529443" cy="320152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400" b="1">
              <a:solidFill>
                <a:schemeClr val="accent2">
                  <a:lumMod val="75000"/>
                </a:schemeClr>
              </a:solidFill>
              <a:latin typeface="+mn-lt"/>
            </a:rPr>
            <a:t>MAY-26</a:t>
          </a:r>
          <a:r>
            <a:rPr lang="en-US" sz="1400" b="1" baseline="0">
              <a:solidFill>
                <a:schemeClr val="accent2">
                  <a:lumMod val="75000"/>
                </a:schemeClr>
              </a:solidFill>
              <a:latin typeface="+mn-lt"/>
            </a:rPr>
            <a:t> / Page 20</a:t>
          </a:r>
          <a:endParaRPr lang="th-TH" sz="1400" b="1">
            <a:solidFill>
              <a:schemeClr val="accent2">
                <a:lumMod val="75000"/>
              </a:schemeClr>
            </a:solidFill>
            <a:latin typeface="+mn-lt"/>
          </a:endParaRPr>
        </a:p>
      </xdr:txBody>
    </xdr:sp>
    <xdr:clientData/>
  </xdr:oneCellAnchor>
  <xdr:oneCellAnchor>
    <xdr:from>
      <xdr:col>26</xdr:col>
      <xdr:colOff>1012371</xdr:colOff>
      <xdr:row>0</xdr:row>
      <xdr:rowOff>179615</xdr:rowOff>
    </xdr:from>
    <xdr:ext cx="1663337" cy="320152"/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DB371500-E118-450D-A2FF-11DDC298FE33}"/>
            </a:ext>
          </a:extLst>
        </xdr:cNvPr>
        <xdr:cNvSpPr txBox="1"/>
      </xdr:nvSpPr>
      <xdr:spPr>
        <a:xfrm>
          <a:off x="19005096" y="179615"/>
          <a:ext cx="1663337" cy="320152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400" b="1">
              <a:solidFill>
                <a:schemeClr val="tx1"/>
              </a:solidFill>
              <a:latin typeface="+mn-lt"/>
            </a:rPr>
            <a:t>BBL</a:t>
          </a:r>
          <a:r>
            <a:rPr lang="en-US" sz="1400" b="1" baseline="0">
              <a:solidFill>
                <a:schemeClr val="tx1"/>
              </a:solidFill>
              <a:latin typeface="+mn-lt"/>
            </a:rPr>
            <a:t> 527-0-24241-4</a:t>
          </a:r>
          <a:endParaRPr lang="th-TH" sz="1400" b="1">
            <a:solidFill>
              <a:schemeClr val="tx1"/>
            </a:solidFill>
            <a:latin typeface="+mn-lt"/>
          </a:endParaRPr>
        </a:p>
      </xdr:txBody>
    </xdr:sp>
    <xdr:clientData/>
  </xdr:oneCellAnchor>
  <xdr:twoCellAnchor>
    <xdr:from>
      <xdr:col>8</xdr:col>
      <xdr:colOff>63139</xdr:colOff>
      <xdr:row>62</xdr:row>
      <xdr:rowOff>108857</xdr:rowOff>
    </xdr:from>
    <xdr:to>
      <xdr:col>8</xdr:col>
      <xdr:colOff>108858</xdr:colOff>
      <xdr:row>63</xdr:row>
      <xdr:rowOff>239486</xdr:rowOff>
    </xdr:to>
    <xdr:sp macro="" textlink="">
      <xdr:nvSpPr>
        <xdr:cNvPr id="4" name="วงเล็บปีกกาซ้าย 3">
          <a:extLst>
            <a:ext uri="{FF2B5EF4-FFF2-40B4-BE49-F238E27FC236}">
              <a16:creationId xmlns:a16="http://schemas.microsoft.com/office/drawing/2014/main" id="{7ED15258-8F49-4170-8AA0-BB050ED0054A}"/>
            </a:ext>
          </a:extLst>
        </xdr:cNvPr>
        <xdr:cNvSpPr/>
      </xdr:nvSpPr>
      <xdr:spPr>
        <a:xfrm>
          <a:off x="6663964" y="19282682"/>
          <a:ext cx="45719" cy="444954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oneCellAnchor>
    <xdr:from>
      <xdr:col>6</xdr:col>
      <xdr:colOff>783771</xdr:colOff>
      <xdr:row>62</xdr:row>
      <xdr:rowOff>130629</xdr:rowOff>
    </xdr:from>
    <xdr:ext cx="881744" cy="404150"/>
    <xdr:sp macro="" textlink="">
      <xdr:nvSpPr>
        <xdr:cNvPr id="5" name="กล่องข้อความ 4">
          <a:extLst>
            <a:ext uri="{FF2B5EF4-FFF2-40B4-BE49-F238E27FC236}">
              <a16:creationId xmlns:a16="http://schemas.microsoft.com/office/drawing/2014/main" id="{5C7FB8A2-B05A-4BF8-9B9B-3B4BF73D3BD9}"/>
            </a:ext>
          </a:extLst>
        </xdr:cNvPr>
        <xdr:cNvSpPr txBox="1"/>
      </xdr:nvSpPr>
      <xdr:spPr>
        <a:xfrm>
          <a:off x="5727246" y="19304454"/>
          <a:ext cx="881744" cy="40415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th-TH" sz="1800">
              <a:latin typeface="Angsana New" panose="02020603050405020304" pitchFamily="18" charset="-34"/>
              <a:cs typeface="Angsana New" panose="02020603050405020304" pitchFamily="18" charset="-34"/>
            </a:rPr>
            <a:t>3,251,101.-</a:t>
          </a:r>
        </a:p>
      </xdr:txBody>
    </xdr:sp>
    <xdr:clientData/>
  </xdr:oneCellAnchor>
  <xdr:twoCellAnchor>
    <xdr:from>
      <xdr:col>9</xdr:col>
      <xdr:colOff>280854</xdr:colOff>
      <xdr:row>64</xdr:row>
      <xdr:rowOff>108857</xdr:rowOff>
    </xdr:from>
    <xdr:to>
      <xdr:col>9</xdr:col>
      <xdr:colOff>326573</xdr:colOff>
      <xdr:row>65</xdr:row>
      <xdr:rowOff>239486</xdr:rowOff>
    </xdr:to>
    <xdr:sp macro="" textlink="">
      <xdr:nvSpPr>
        <xdr:cNvPr id="6" name="วงเล็บปีกกาซ้าย 5">
          <a:extLst>
            <a:ext uri="{FF2B5EF4-FFF2-40B4-BE49-F238E27FC236}">
              <a16:creationId xmlns:a16="http://schemas.microsoft.com/office/drawing/2014/main" id="{0B814514-9B9F-42FB-A59B-1843F598C975}"/>
            </a:ext>
          </a:extLst>
        </xdr:cNvPr>
        <xdr:cNvSpPr/>
      </xdr:nvSpPr>
      <xdr:spPr>
        <a:xfrm>
          <a:off x="7815129" y="19901807"/>
          <a:ext cx="45719" cy="435429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oneCellAnchor>
    <xdr:from>
      <xdr:col>8</xdr:col>
      <xdr:colOff>468084</xdr:colOff>
      <xdr:row>64</xdr:row>
      <xdr:rowOff>130629</xdr:rowOff>
    </xdr:from>
    <xdr:ext cx="696687" cy="404150"/>
    <xdr:sp macro="" textlink="">
      <xdr:nvSpPr>
        <xdr:cNvPr id="7" name="กล่องข้อความ 6">
          <a:extLst>
            <a:ext uri="{FF2B5EF4-FFF2-40B4-BE49-F238E27FC236}">
              <a16:creationId xmlns:a16="http://schemas.microsoft.com/office/drawing/2014/main" id="{B89D13C2-A039-4A72-B860-8B28DF106DED}"/>
            </a:ext>
          </a:extLst>
        </xdr:cNvPr>
        <xdr:cNvSpPr txBox="1"/>
      </xdr:nvSpPr>
      <xdr:spPr>
        <a:xfrm>
          <a:off x="7068909" y="19923579"/>
          <a:ext cx="696687" cy="40415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th-TH" sz="1800">
              <a:latin typeface="Angsana New" panose="02020603050405020304" pitchFamily="18" charset="-34"/>
              <a:cs typeface="Angsana New" panose="02020603050405020304" pitchFamily="18" charset="-34"/>
            </a:rPr>
            <a:t>41,205.-</a:t>
          </a:r>
        </a:p>
      </xdr:txBody>
    </xdr:sp>
    <xdr:clientData/>
  </xdr:oneCellAnchor>
  <xdr:twoCellAnchor>
    <xdr:from>
      <xdr:col>9</xdr:col>
      <xdr:colOff>280856</xdr:colOff>
      <xdr:row>69</xdr:row>
      <xdr:rowOff>87086</xdr:rowOff>
    </xdr:from>
    <xdr:to>
      <xdr:col>9</xdr:col>
      <xdr:colOff>326575</xdr:colOff>
      <xdr:row>70</xdr:row>
      <xdr:rowOff>217715</xdr:rowOff>
    </xdr:to>
    <xdr:sp macro="" textlink="">
      <xdr:nvSpPr>
        <xdr:cNvPr id="8" name="วงเล็บปีกกาซ้าย 7">
          <a:extLst>
            <a:ext uri="{FF2B5EF4-FFF2-40B4-BE49-F238E27FC236}">
              <a16:creationId xmlns:a16="http://schemas.microsoft.com/office/drawing/2014/main" id="{74699948-9632-42E2-93E6-496037523AFB}"/>
            </a:ext>
          </a:extLst>
        </xdr:cNvPr>
        <xdr:cNvSpPr/>
      </xdr:nvSpPr>
      <xdr:spPr>
        <a:xfrm>
          <a:off x="7815131" y="21404036"/>
          <a:ext cx="45719" cy="435429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oneCellAnchor>
    <xdr:from>
      <xdr:col>8</xdr:col>
      <xdr:colOff>468086</xdr:colOff>
      <xdr:row>69</xdr:row>
      <xdr:rowOff>108858</xdr:rowOff>
    </xdr:from>
    <xdr:ext cx="696688" cy="404150"/>
    <xdr:sp macro="" textlink="">
      <xdr:nvSpPr>
        <xdr:cNvPr id="9" name="กล่องข้อความ 8">
          <a:extLst>
            <a:ext uri="{FF2B5EF4-FFF2-40B4-BE49-F238E27FC236}">
              <a16:creationId xmlns:a16="http://schemas.microsoft.com/office/drawing/2014/main" id="{EBA42075-C16D-450B-B149-53EFCCA968DD}"/>
            </a:ext>
          </a:extLst>
        </xdr:cNvPr>
        <xdr:cNvSpPr txBox="1"/>
      </xdr:nvSpPr>
      <xdr:spPr>
        <a:xfrm>
          <a:off x="7068911" y="21425808"/>
          <a:ext cx="696688" cy="40415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th-TH" sz="1800">
              <a:latin typeface="Angsana New" panose="02020603050405020304" pitchFamily="18" charset="-34"/>
              <a:cs typeface="Angsana New" panose="02020603050405020304" pitchFamily="18" charset="-34"/>
            </a:rPr>
            <a:t>33,951.-</a:t>
          </a:r>
        </a:p>
      </xdr:txBody>
    </xdr:sp>
    <xdr:clientData/>
  </xdr:oneCellAnchor>
  <xdr:twoCellAnchor>
    <xdr:from>
      <xdr:col>9</xdr:col>
      <xdr:colOff>335284</xdr:colOff>
      <xdr:row>72</xdr:row>
      <xdr:rowOff>119743</xdr:rowOff>
    </xdr:from>
    <xdr:to>
      <xdr:col>9</xdr:col>
      <xdr:colOff>381003</xdr:colOff>
      <xdr:row>73</xdr:row>
      <xdr:rowOff>250372</xdr:rowOff>
    </xdr:to>
    <xdr:sp macro="" textlink="">
      <xdr:nvSpPr>
        <xdr:cNvPr id="10" name="วงเล็บปีกกาซ้าย 9">
          <a:extLst>
            <a:ext uri="{FF2B5EF4-FFF2-40B4-BE49-F238E27FC236}">
              <a16:creationId xmlns:a16="http://schemas.microsoft.com/office/drawing/2014/main" id="{DEAD9E50-5E64-4C33-9289-2364924419FF}"/>
            </a:ext>
          </a:extLst>
        </xdr:cNvPr>
        <xdr:cNvSpPr/>
      </xdr:nvSpPr>
      <xdr:spPr>
        <a:xfrm>
          <a:off x="7869559" y="22351093"/>
          <a:ext cx="45719" cy="444954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oneCellAnchor>
    <xdr:from>
      <xdr:col>8</xdr:col>
      <xdr:colOff>511628</xdr:colOff>
      <xdr:row>72</xdr:row>
      <xdr:rowOff>141515</xdr:rowOff>
    </xdr:from>
    <xdr:ext cx="707574" cy="404150"/>
    <xdr:sp macro="" textlink="">
      <xdr:nvSpPr>
        <xdr:cNvPr id="11" name="กล่องข้อความ 10">
          <a:extLst>
            <a:ext uri="{FF2B5EF4-FFF2-40B4-BE49-F238E27FC236}">
              <a16:creationId xmlns:a16="http://schemas.microsoft.com/office/drawing/2014/main" id="{760F5AA8-30BB-4347-AAFC-3DB6792C60E4}"/>
            </a:ext>
          </a:extLst>
        </xdr:cNvPr>
        <xdr:cNvSpPr txBox="1"/>
      </xdr:nvSpPr>
      <xdr:spPr>
        <a:xfrm>
          <a:off x="7112453" y="22372865"/>
          <a:ext cx="707574" cy="40415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th-TH" sz="1800">
              <a:latin typeface="Angsana New" panose="02020603050405020304" pitchFamily="18" charset="-34"/>
              <a:cs typeface="Angsana New" panose="02020603050405020304" pitchFamily="18" charset="-34"/>
            </a:rPr>
            <a:t>11,980.-</a:t>
          </a:r>
        </a:p>
      </xdr:txBody>
    </xdr:sp>
    <xdr:clientData/>
  </xdr:oneCellAnchor>
  <xdr:twoCellAnchor>
    <xdr:from>
      <xdr:col>9</xdr:col>
      <xdr:colOff>239486</xdr:colOff>
      <xdr:row>60</xdr:row>
      <xdr:rowOff>130628</xdr:rowOff>
    </xdr:from>
    <xdr:to>
      <xdr:col>9</xdr:col>
      <xdr:colOff>285205</xdr:colOff>
      <xdr:row>61</xdr:row>
      <xdr:rowOff>261258</xdr:rowOff>
    </xdr:to>
    <xdr:sp macro="" textlink="">
      <xdr:nvSpPr>
        <xdr:cNvPr id="12" name="วงเล็บปีกกาซ้าย 11">
          <a:extLst>
            <a:ext uri="{FF2B5EF4-FFF2-40B4-BE49-F238E27FC236}">
              <a16:creationId xmlns:a16="http://schemas.microsoft.com/office/drawing/2014/main" id="{5216000F-790D-4969-805B-2318DA04E26C}"/>
            </a:ext>
          </a:extLst>
        </xdr:cNvPr>
        <xdr:cNvSpPr/>
      </xdr:nvSpPr>
      <xdr:spPr>
        <a:xfrm>
          <a:off x="7773761" y="18685328"/>
          <a:ext cx="45719" cy="435430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oneCellAnchor>
    <xdr:from>
      <xdr:col>8</xdr:col>
      <xdr:colOff>315686</xdr:colOff>
      <xdr:row>60</xdr:row>
      <xdr:rowOff>152400</xdr:rowOff>
    </xdr:from>
    <xdr:ext cx="805544" cy="404150"/>
    <xdr:sp macro="" textlink="">
      <xdr:nvSpPr>
        <xdr:cNvPr id="13" name="กล่องข้อความ 12">
          <a:extLst>
            <a:ext uri="{FF2B5EF4-FFF2-40B4-BE49-F238E27FC236}">
              <a16:creationId xmlns:a16="http://schemas.microsoft.com/office/drawing/2014/main" id="{00C4812A-5BBF-49F4-87E1-581A5B693510}"/>
            </a:ext>
          </a:extLst>
        </xdr:cNvPr>
        <xdr:cNvSpPr txBox="1"/>
      </xdr:nvSpPr>
      <xdr:spPr>
        <a:xfrm>
          <a:off x="6916511" y="18707100"/>
          <a:ext cx="805544" cy="40415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th-TH" sz="1800">
              <a:latin typeface="Angsana New" panose="02020603050405020304" pitchFamily="18" charset="-34"/>
              <a:cs typeface="Angsana New" panose="02020603050405020304" pitchFamily="18" charset="-34"/>
            </a:rPr>
            <a:t>200,000.-</a:t>
          </a:r>
        </a:p>
      </xdr:txBody>
    </xdr:sp>
    <xdr:clientData/>
  </xdr:oneCellAnchor>
  <xdr:twoCellAnchor>
    <xdr:from>
      <xdr:col>9</xdr:col>
      <xdr:colOff>280856</xdr:colOff>
      <xdr:row>115</xdr:row>
      <xdr:rowOff>97971</xdr:rowOff>
    </xdr:from>
    <xdr:to>
      <xdr:col>9</xdr:col>
      <xdr:colOff>326575</xdr:colOff>
      <xdr:row>116</xdr:row>
      <xdr:rowOff>228601</xdr:rowOff>
    </xdr:to>
    <xdr:sp macro="" textlink="">
      <xdr:nvSpPr>
        <xdr:cNvPr id="14" name="วงเล็บปีกกาซ้าย 13">
          <a:extLst>
            <a:ext uri="{FF2B5EF4-FFF2-40B4-BE49-F238E27FC236}">
              <a16:creationId xmlns:a16="http://schemas.microsoft.com/office/drawing/2014/main" id="{19FBDF4A-2842-425E-BD09-A9AEFDDC0A24}"/>
            </a:ext>
          </a:extLst>
        </xdr:cNvPr>
        <xdr:cNvSpPr/>
      </xdr:nvSpPr>
      <xdr:spPr>
        <a:xfrm>
          <a:off x="7815131" y="35654796"/>
          <a:ext cx="45719" cy="435430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oneCellAnchor>
    <xdr:from>
      <xdr:col>8</xdr:col>
      <xdr:colOff>381000</xdr:colOff>
      <xdr:row>115</xdr:row>
      <xdr:rowOff>119743</xdr:rowOff>
    </xdr:from>
    <xdr:ext cx="783773" cy="404150"/>
    <xdr:sp macro="" textlink="">
      <xdr:nvSpPr>
        <xdr:cNvPr id="15" name="กล่องข้อความ 14">
          <a:extLst>
            <a:ext uri="{FF2B5EF4-FFF2-40B4-BE49-F238E27FC236}">
              <a16:creationId xmlns:a16="http://schemas.microsoft.com/office/drawing/2014/main" id="{669ACB7A-EBD3-4F17-93F3-3A490F58DBD0}"/>
            </a:ext>
          </a:extLst>
        </xdr:cNvPr>
        <xdr:cNvSpPr txBox="1"/>
      </xdr:nvSpPr>
      <xdr:spPr>
        <a:xfrm>
          <a:off x="6981825" y="35676568"/>
          <a:ext cx="783773" cy="40415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th-TH" sz="1800">
              <a:latin typeface="Angsana New" panose="02020603050405020304" pitchFamily="18" charset="-34"/>
              <a:cs typeface="Angsana New" panose="02020603050405020304" pitchFamily="18" charset="-34"/>
            </a:rPr>
            <a:t>100,000.-</a:t>
          </a:r>
        </a:p>
      </xdr:txBody>
    </xdr:sp>
    <xdr:clientData/>
  </xdr:oneCellAnchor>
  <xdr:twoCellAnchor>
    <xdr:from>
      <xdr:col>9</xdr:col>
      <xdr:colOff>291742</xdr:colOff>
      <xdr:row>117</xdr:row>
      <xdr:rowOff>97971</xdr:rowOff>
    </xdr:from>
    <xdr:to>
      <xdr:col>9</xdr:col>
      <xdr:colOff>337461</xdr:colOff>
      <xdr:row>118</xdr:row>
      <xdr:rowOff>228600</xdr:rowOff>
    </xdr:to>
    <xdr:sp macro="" textlink="">
      <xdr:nvSpPr>
        <xdr:cNvPr id="16" name="วงเล็บปีกกาซ้าย 15">
          <a:extLst>
            <a:ext uri="{FF2B5EF4-FFF2-40B4-BE49-F238E27FC236}">
              <a16:creationId xmlns:a16="http://schemas.microsoft.com/office/drawing/2014/main" id="{65827E63-3AA7-4F55-8269-9A38D2A3BE12}"/>
            </a:ext>
          </a:extLst>
        </xdr:cNvPr>
        <xdr:cNvSpPr/>
      </xdr:nvSpPr>
      <xdr:spPr>
        <a:xfrm>
          <a:off x="7826017" y="36264396"/>
          <a:ext cx="45719" cy="435429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oneCellAnchor>
    <xdr:from>
      <xdr:col>8</xdr:col>
      <xdr:colOff>489857</xdr:colOff>
      <xdr:row>117</xdr:row>
      <xdr:rowOff>119743</xdr:rowOff>
    </xdr:from>
    <xdr:ext cx="685802" cy="404150"/>
    <xdr:sp macro="" textlink="">
      <xdr:nvSpPr>
        <xdr:cNvPr id="17" name="กล่องข้อความ 16">
          <a:extLst>
            <a:ext uri="{FF2B5EF4-FFF2-40B4-BE49-F238E27FC236}">
              <a16:creationId xmlns:a16="http://schemas.microsoft.com/office/drawing/2014/main" id="{3C3000B8-A2D9-4310-BB08-67ACFA21E1E1}"/>
            </a:ext>
          </a:extLst>
        </xdr:cNvPr>
        <xdr:cNvSpPr txBox="1"/>
      </xdr:nvSpPr>
      <xdr:spPr>
        <a:xfrm>
          <a:off x="7090682" y="36286168"/>
          <a:ext cx="685802" cy="40415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th-TH" sz="1800">
              <a:latin typeface="Angsana New" panose="02020603050405020304" pitchFamily="18" charset="-34"/>
              <a:cs typeface="Angsana New" panose="02020603050405020304" pitchFamily="18" charset="-34"/>
            </a:rPr>
            <a:t>12,895.-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102663</xdr:colOff>
      <xdr:row>0</xdr:row>
      <xdr:rowOff>44302</xdr:rowOff>
    </xdr:from>
    <xdr:ext cx="251460" cy="251460"/>
    <xdr:pic>
      <xdr:nvPicPr>
        <xdr:cNvPr id="2" name="รูปภาพ 1">
          <a:extLst>
            <a:ext uri="{FF2B5EF4-FFF2-40B4-BE49-F238E27FC236}">
              <a16:creationId xmlns:a16="http://schemas.microsoft.com/office/drawing/2014/main" id="{82592C5D-A93A-4965-8401-4D6149100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46863" y="44302"/>
          <a:ext cx="25146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649;&#3614;&#3611;&#3621;&#3634;KPS%20-%20Mbanking%20&#3651;&#3610;&#3626;&#3635;&#3588;&#3633;&#3597;&#3592;&#3656;&#3634;&#3618;%2068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885fb680552b6e9/Desktop/&#3649;&#3614;&#3611;&#3621;&#3634;KPS%20-%20Mbanking%2069.xlsx" TargetMode="External"/><Relationship Id="rId1" Type="http://schemas.openxmlformats.org/officeDocument/2006/relationships/externalLinkPath" Target="&#3649;&#3614;&#3611;&#3621;&#3634;KPS%20-%20Mbanking%2069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885fb680552b6e9/Desktop/&#3649;&#3614;&#3611;&#3621;&#3634;KPS%20-%20Mbanking%20&#3651;&#3610;&#3626;&#3635;&#3588;&#3633;&#3597;&#3592;&#3656;&#3634;&#3618;%2069.xlsx" TargetMode="External"/><Relationship Id="rId1" Type="http://schemas.openxmlformats.org/officeDocument/2006/relationships/externalLinkPath" Target="&#3649;&#3614;&#3611;&#3621;&#3634;KPS%20-%20Mbanking%20&#3651;&#3610;&#3626;&#3635;&#3588;&#3633;&#3597;&#3592;&#3656;&#3634;&#3618;%206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-68 (2)"/>
      <sheetName val="บัญชีโอน"/>
      <sheetName val="12-68"/>
      <sheetName val="11-68"/>
      <sheetName val="10-68"/>
      <sheetName val="9-68"/>
      <sheetName val="8-68"/>
      <sheetName val="7-68"/>
      <sheetName val="6-58"/>
      <sheetName val="5-68"/>
      <sheetName val="4-68"/>
      <sheetName val="3-68"/>
      <sheetName val="2-68"/>
      <sheetName val="1-68"/>
    </sheetNames>
    <sheetDataSet>
      <sheetData sheetId="0" refreshError="1"/>
      <sheetData sheetId="1" refreshError="1">
        <row r="1">
          <cell r="B1" t="str">
            <v>ชื่อร้าน</v>
          </cell>
          <cell r="C1" t="str">
            <v>จ่ายให้</v>
          </cell>
          <cell r="D1" t="str">
            <v>BANK</v>
          </cell>
          <cell r="E1" t="str">
            <v>เลขที่บัญชี</v>
          </cell>
        </row>
        <row r="2">
          <cell r="B2" t="str">
            <v>AIA</v>
          </cell>
          <cell r="C2" t="str">
            <v>บจ.เอไอเอ</v>
          </cell>
          <cell r="D2" t="str">
            <v>QR CODE</v>
          </cell>
          <cell r="E2" t="str">
            <v>บจ.เอไอเอ</v>
          </cell>
        </row>
        <row r="3">
          <cell r="B3" t="str">
            <v>BBL 1644-3</v>
          </cell>
          <cell r="C3" t="str">
            <v>นายธนู  ทักษิณาวงศ์</v>
          </cell>
          <cell r="D3" t="str">
            <v>BBL</v>
          </cell>
          <cell r="E3" t="str">
            <v>527-3-01644-3</v>
          </cell>
        </row>
        <row r="4">
          <cell r="B4" t="str">
            <v>BBL 1765-6</v>
          </cell>
          <cell r="C4" t="str">
            <v>นายอดิศักดิ์ รุจิวิวัฒนกุล</v>
          </cell>
          <cell r="D4" t="str">
            <v>BBL</v>
          </cell>
          <cell r="E4" t="str">
            <v>527-3-01765-6</v>
          </cell>
        </row>
        <row r="5">
          <cell r="B5" t="str">
            <v>BBL 5889-9</v>
          </cell>
          <cell r="C5" t="str">
            <v>นายธนู  ทักษิณาวงศ์</v>
          </cell>
          <cell r="D5" t="str">
            <v>BBL</v>
          </cell>
          <cell r="E5" t="str">
            <v>527-0-25889-9</v>
          </cell>
        </row>
        <row r="6">
          <cell r="B6" t="str">
            <v>CHO CHO WIN</v>
          </cell>
          <cell r="C6" t="str">
            <v>CHO CHO WIN</v>
          </cell>
          <cell r="D6" t="str">
            <v>Kbank</v>
          </cell>
          <cell r="E6" t="str">
            <v>085-8-66544-2</v>
          </cell>
        </row>
        <row r="7">
          <cell r="B7" t="str">
            <v>GHP หนุ่มกระจกอลูมิเนียม</v>
          </cell>
          <cell r="C7" t="str">
            <v>นายยิ่งยศ  แก้ววงค์ทอง</v>
          </cell>
          <cell r="D7" t="str">
            <v>BBL</v>
          </cell>
          <cell r="E7" t="str">
            <v>527-3-01122-0</v>
          </cell>
        </row>
        <row r="8">
          <cell r="B8" t="str">
            <v xml:space="preserve">GHP หนุ่มกระจกอลูมิเนียม </v>
          </cell>
          <cell r="C8" t="str">
            <v>นายยิ่งยศ   แก้ววงค์ทอง</v>
          </cell>
          <cell r="D8" t="str">
            <v>Kbank</v>
          </cell>
          <cell r="E8" t="str">
            <v>032-3-56364-0</v>
          </cell>
        </row>
        <row r="9">
          <cell r="B9" t="str">
            <v>K.K. Ranong Trading LTD.,PART.</v>
          </cell>
          <cell r="C9" t="str">
            <v>K.K. Ranong Trading LTD.,PART.</v>
          </cell>
          <cell r="D9" t="str">
            <v>Kbank</v>
          </cell>
          <cell r="E9" t="str">
            <v>232-2-18817-2</v>
          </cell>
        </row>
        <row r="10">
          <cell r="B10" t="str">
            <v>KS.เทรดดิ้ง</v>
          </cell>
          <cell r="C10" t="str">
            <v>นายเกรียงศักดิ์  แซ่โง้ว</v>
          </cell>
          <cell r="D10" t="str">
            <v>BBL</v>
          </cell>
          <cell r="E10" t="str">
            <v>128-0-74064-6</v>
          </cell>
        </row>
        <row r="11">
          <cell r="B11" t="str">
            <v>LYA (พี่เสง)</v>
          </cell>
          <cell r="C11" t="str">
            <v>นายปิยวุฒิ  ลิ่มศิลา</v>
          </cell>
          <cell r="D11" t="str">
            <v>TTB</v>
          </cell>
          <cell r="E11" t="str">
            <v>429-2-25632-0</v>
          </cell>
        </row>
        <row r="12">
          <cell r="B12" t="str">
            <v>MISS GLORIA HUANG</v>
          </cell>
          <cell r="C12" t="str">
            <v>MISS GLORIA HUANG</v>
          </cell>
          <cell r="D12" t="str">
            <v>SCB</v>
          </cell>
          <cell r="E12" t="str">
            <v>218-2-84081-5</v>
          </cell>
        </row>
        <row r="13">
          <cell r="B13" t="str">
            <v>MISS HSU MYAT HTOO</v>
          </cell>
          <cell r="C13" t="str">
            <v>MISS HSU MYAT HTOO</v>
          </cell>
          <cell r="D13" t="str">
            <v>BAY</v>
          </cell>
          <cell r="E13" t="str">
            <v>769-1-26336-4</v>
          </cell>
        </row>
        <row r="14">
          <cell r="B14" t="str">
            <v>MR. AKER SOE THEIN</v>
          </cell>
          <cell r="C14" t="str">
            <v>MR. AKER SOE THEIN</v>
          </cell>
          <cell r="D14" t="str">
            <v>BBL</v>
          </cell>
          <cell r="E14" t="str">
            <v>037-4-14587-8</v>
          </cell>
        </row>
        <row r="15">
          <cell r="B15" t="str">
            <v>MR. HTAY WIN</v>
          </cell>
          <cell r="C15" t="str">
            <v>MR. HTAY WIN</v>
          </cell>
          <cell r="D15" t="str">
            <v>BBL</v>
          </cell>
          <cell r="E15" t="str">
            <v>291-0-91259-7</v>
          </cell>
        </row>
        <row r="16">
          <cell r="B16" t="str">
            <v>MR. KAUNG KYAW MOE</v>
          </cell>
          <cell r="C16" t="str">
            <v>MR. KAUNG KYAW MOE</v>
          </cell>
          <cell r="D16" t="str">
            <v>Kbank</v>
          </cell>
          <cell r="E16" t="str">
            <v>165-3-16118-9</v>
          </cell>
        </row>
        <row r="17">
          <cell r="B17" t="str">
            <v>MR. KYAW THUYA</v>
          </cell>
          <cell r="C17" t="str">
            <v>MR. KYAW THUYA</v>
          </cell>
          <cell r="D17" t="str">
            <v>BBL</v>
          </cell>
          <cell r="E17" t="str">
            <v>527-0-24979-9</v>
          </cell>
        </row>
        <row r="18">
          <cell r="B18" t="str">
            <v>MR. NAING LYNN</v>
          </cell>
          <cell r="C18" t="str">
            <v>MR. NAING LYNN</v>
          </cell>
          <cell r="D18" t="str">
            <v>BBL</v>
          </cell>
          <cell r="E18" t="str">
            <v>101-9-38598-6</v>
          </cell>
        </row>
        <row r="19">
          <cell r="B19" t="str">
            <v>MR. ZAY YAR OO</v>
          </cell>
          <cell r="C19" t="str">
            <v>MR. ZAY YAR OO</v>
          </cell>
          <cell r="D19" t="str">
            <v>Kbank</v>
          </cell>
          <cell r="E19" t="str">
            <v>106-1-55122-7</v>
          </cell>
        </row>
        <row r="20">
          <cell r="B20" t="str">
            <v>MR.HEIN THWE ZONE</v>
          </cell>
          <cell r="C20" t="str">
            <v>HEIN THWE ZONE</v>
          </cell>
          <cell r="D20" t="str">
            <v>BBL</v>
          </cell>
          <cell r="E20" t="str">
            <v>855-0-83084-1</v>
          </cell>
        </row>
        <row r="21">
          <cell r="B21" t="str">
            <v>MR.SOE THEIN</v>
          </cell>
          <cell r="C21" t="str">
            <v>MR.SOE THEIN</v>
          </cell>
          <cell r="D21" t="str">
            <v>BBL</v>
          </cell>
          <cell r="E21" t="str">
            <v>939-0-28685-5</v>
          </cell>
        </row>
        <row r="22">
          <cell r="B22" t="str">
            <v>MR.SUNTAYA SETAVORAPHAN</v>
          </cell>
          <cell r="C22" t="str">
            <v>MR.SUNTAYA SETAVORAPHAN</v>
          </cell>
          <cell r="D22" t="str">
            <v>BBL</v>
          </cell>
          <cell r="E22" t="str">
            <v>180-4-97992-8</v>
          </cell>
        </row>
        <row r="23">
          <cell r="B23" t="str">
            <v>MR.THAUNG TUN</v>
          </cell>
          <cell r="C23" t="str">
            <v>MR.THAUNG TUN</v>
          </cell>
          <cell r="D23" t="str">
            <v>Kbank</v>
          </cell>
          <cell r="E23" t="str">
            <v>140-8-79416-8</v>
          </cell>
        </row>
        <row r="24">
          <cell r="B24" t="str">
            <v>MR.THU KHA AND MRS.AYE AYE MU</v>
          </cell>
          <cell r="C24" t="str">
            <v>MR.THU KHA AND MRS.AYE AYE MU</v>
          </cell>
          <cell r="D24" t="str">
            <v>BBL</v>
          </cell>
          <cell r="E24" t="str">
            <v>056-0-47678-0</v>
          </cell>
        </row>
        <row r="25">
          <cell r="B25" t="str">
            <v>MR.THUYA AUNG NO SERNAME</v>
          </cell>
          <cell r="C25" t="str">
            <v>MR.THUYA AUNG NO SERNAME</v>
          </cell>
          <cell r="D25" t="str">
            <v>Kbank</v>
          </cell>
          <cell r="E25" t="str">
            <v>550-2-04642-1</v>
          </cell>
        </row>
        <row r="26">
          <cell r="B26" t="str">
            <v>MR.TIN SOE</v>
          </cell>
          <cell r="C26" t="str">
            <v>MR.TIN SOE</v>
          </cell>
          <cell r="D26" t="str">
            <v>Kbank</v>
          </cell>
          <cell r="E26" t="str">
            <v>038-3-60121-5</v>
          </cell>
        </row>
        <row r="27">
          <cell r="B27" t="str">
            <v>MR.ZAW MYO TUN</v>
          </cell>
          <cell r="C27" t="str">
            <v>MR.ZAW MYO TUN</v>
          </cell>
          <cell r="D27" t="str">
            <v>BBL</v>
          </cell>
          <cell r="E27" t="str">
            <v>031-7-11072-4</v>
          </cell>
        </row>
        <row r="28">
          <cell r="B28" t="str">
            <v>MRS.KHIN HTWE KYI</v>
          </cell>
          <cell r="C28" t="str">
            <v>MRS.KHIN HTWE KYI</v>
          </cell>
          <cell r="D28" t="str">
            <v>BBL</v>
          </cell>
          <cell r="E28" t="str">
            <v>056-0-47780-4</v>
          </cell>
        </row>
        <row r="29">
          <cell r="B29" t="str">
            <v>MRS.MA AYE NWAY NWAY CHAW</v>
          </cell>
          <cell r="C29" t="str">
            <v>MRS.MA AYE NWAY NWAY CHAW</v>
          </cell>
          <cell r="D29" t="str">
            <v>BBL</v>
          </cell>
          <cell r="E29" t="str">
            <v>056-0-43520-8</v>
          </cell>
        </row>
        <row r="30">
          <cell r="B30" t="str">
            <v>MS.MYAT NOE THU</v>
          </cell>
          <cell r="C30" t="str">
            <v>MS.MYAT NOE THU</v>
          </cell>
          <cell r="D30" t="str">
            <v>QR CODE</v>
          </cell>
          <cell r="E30" t="str">
            <v>MS.MYAT NOE THU</v>
          </cell>
        </row>
        <row r="31">
          <cell r="B31" t="str">
            <v>MS.NAN MI MI KHAING</v>
          </cell>
          <cell r="C31" t="str">
            <v>MS.NAN MI MI KHAING</v>
          </cell>
          <cell r="D31" t="str">
            <v>Kbank</v>
          </cell>
          <cell r="E31" t="str">
            <v>004-8-95102-3</v>
          </cell>
        </row>
        <row r="32">
          <cell r="B32" t="str">
            <v>MS.YIN YIN HTIKE</v>
          </cell>
          <cell r="C32" t="str">
            <v>MS.YIN YIN HTIKE</v>
          </cell>
          <cell r="D32" t="str">
            <v>BBL</v>
          </cell>
          <cell r="E32" t="str">
            <v>031-7-11073-2</v>
          </cell>
        </row>
        <row r="33">
          <cell r="B33" t="str">
            <v>NT Com</v>
          </cell>
          <cell r="C33" t="str">
            <v>นายนครชัย  ทองอนันต์</v>
          </cell>
          <cell r="D33" t="str">
            <v>QR CODE</v>
          </cell>
          <cell r="E33" t="str">
            <v>นายนครชัย  ทองอนันต์</v>
          </cell>
        </row>
        <row r="34">
          <cell r="B34" t="str">
            <v>PJ</v>
          </cell>
          <cell r="C34" t="str">
            <v>นายวิโรจน์  จันทปัญญา</v>
          </cell>
          <cell r="D34" t="str">
            <v>Kbank</v>
          </cell>
          <cell r="E34" t="str">
            <v>016-8-35381-2</v>
          </cell>
        </row>
        <row r="35">
          <cell r="B35" t="str">
            <v>PPไฮดรอลิค</v>
          </cell>
          <cell r="C35" t="str">
            <v>นายอัศวกรณ์  มิลินจารุภารัตน์</v>
          </cell>
          <cell r="D35" t="str">
            <v>Kbank</v>
          </cell>
          <cell r="E35" t="str">
            <v>098-1-73347-9</v>
          </cell>
        </row>
        <row r="36">
          <cell r="B36" t="str">
            <v>Pronpimon  Oangsuwan</v>
          </cell>
          <cell r="C36" t="str">
            <v>Pronpimon  Oangsuwan</v>
          </cell>
          <cell r="D36" t="str">
            <v>Kbank</v>
          </cell>
          <cell r="E36" t="str">
            <v>138-8-42844-5</v>
          </cell>
        </row>
        <row r="37">
          <cell r="B37" t="str">
            <v>RAM</v>
          </cell>
          <cell r="C37" t="str">
            <v>น.ส.เมธ์วดี  รุจิวิวัฒนกุล</v>
          </cell>
          <cell r="D37" t="str">
            <v>KTB</v>
          </cell>
          <cell r="E37" t="str">
            <v>806-0-43357-1</v>
          </cell>
        </row>
        <row r="38">
          <cell r="B38" t="str">
            <v>Ranong Hot Spring Run</v>
          </cell>
          <cell r="C38" t="str">
            <v>Ranong Hot Spring Run</v>
          </cell>
          <cell r="D38" t="str">
            <v>KTB</v>
          </cell>
          <cell r="E38" t="str">
            <v>806-0-70823-6</v>
          </cell>
        </row>
        <row r="39">
          <cell r="B39" t="str">
            <v>Ranong Hot Spring  Run</v>
          </cell>
          <cell r="C39" t="str">
            <v>Ranong Hot Spring Run โดย</v>
          </cell>
          <cell r="D39" t="str">
            <v>KTB</v>
          </cell>
          <cell r="E39" t="str">
            <v>806-0-79112-5</v>
          </cell>
        </row>
        <row r="40">
          <cell r="B40" t="str">
            <v>RFD / SYM</v>
          </cell>
          <cell r="C40" t="str">
            <v>บจ.ระนอง ฟิวเจอร์ ดีเวลลอปเม้นท์</v>
          </cell>
          <cell r="D40" t="str">
            <v>BBL</v>
          </cell>
          <cell r="E40" t="str">
            <v>527-0-22737-3</v>
          </cell>
        </row>
        <row r="41">
          <cell r="B41" t="str">
            <v>RILON</v>
          </cell>
          <cell r="C41" t="str">
            <v>คุณปณภัทร  นุชเกษม</v>
          </cell>
          <cell r="D41" t="str">
            <v>KTB</v>
          </cell>
          <cell r="E41" t="str">
            <v>493-0-21217-0</v>
          </cell>
        </row>
        <row r="42">
          <cell r="B42" t="str">
            <v>SCG Inernational Corporation Co.,Ltd</v>
          </cell>
          <cell r="C42" t="str">
            <v>SCG Inernational Corporation Co.,Ltd</v>
          </cell>
          <cell r="D42" t="str">
            <v>Kbank</v>
          </cell>
          <cell r="E42" t="str">
            <v>020-1-00066-1</v>
          </cell>
        </row>
        <row r="43">
          <cell r="B43" t="str">
            <v>Shopeepay</v>
          </cell>
          <cell r="C43" t="str">
            <v>Shopeepay</v>
          </cell>
          <cell r="D43" t="str">
            <v>QRCode</v>
          </cell>
          <cell r="E43" t="str">
            <v>QRCode</v>
          </cell>
        </row>
        <row r="44">
          <cell r="B44" t="str">
            <v>THAI KOBELCO WELDING</v>
          </cell>
          <cell r="C44" t="str">
            <v>THAI KOBELCO WELDING CO.,LTD.</v>
          </cell>
          <cell r="D44" t="str">
            <v>MIZUHO</v>
          </cell>
          <cell r="E44" t="str">
            <v>10-764-000303</v>
          </cell>
        </row>
        <row r="45">
          <cell r="B45" t="str">
            <v>THAI-KOBELCO WELDING</v>
          </cell>
          <cell r="C45" t="str">
            <v>THAI-KOBELCO WELDING CO.,LTD.</v>
          </cell>
          <cell r="D45" t="str">
            <v>BBL</v>
          </cell>
          <cell r="E45" t="str">
            <v>155-4-89786-6</v>
          </cell>
        </row>
        <row r="46">
          <cell r="B46" t="str">
            <v>Thongchai Sae Sae</v>
          </cell>
          <cell r="C46" t="str">
            <v>Thongchai Sae Sae</v>
          </cell>
          <cell r="D46" t="str">
            <v>SCB</v>
          </cell>
          <cell r="E46" t="str">
            <v>140-2-18444-8</v>
          </cell>
        </row>
        <row r="47">
          <cell r="B47" t="str">
            <v>TLไฮดรอลิค</v>
          </cell>
          <cell r="C47" t="str">
            <v>นายอัศวกรณ์  มิลินจารุภารัตน์</v>
          </cell>
          <cell r="D47" t="str">
            <v>Kbank</v>
          </cell>
          <cell r="E47" t="str">
            <v>098-1-73347-9</v>
          </cell>
        </row>
        <row r="48">
          <cell r="B48" t="str">
            <v>TOT</v>
          </cell>
          <cell r="C48" t="str">
            <v>บมจ.โทรคมนาคมแห่งชาติ</v>
          </cell>
          <cell r="D48" t="str">
            <v>QRCode</v>
          </cell>
          <cell r="E48" t="str">
            <v>QRCode</v>
          </cell>
        </row>
        <row r="49">
          <cell r="B49" t="str">
            <v>TRUE ONLINE</v>
          </cell>
          <cell r="C49" t="str">
            <v>TRUE ONLINE</v>
          </cell>
          <cell r="D49" t="b">
            <v>1</v>
          </cell>
          <cell r="E49">
            <v>23777714</v>
          </cell>
        </row>
        <row r="50">
          <cell r="B50" t="str">
            <v>W.S.เซอร์วิส</v>
          </cell>
          <cell r="C50" t="str">
            <v>W.S.เซอร์วิส โดย น.ส.วาสนา รอดบุญเกิด</v>
          </cell>
          <cell r="D50" t="str">
            <v>Kbank</v>
          </cell>
          <cell r="E50" t="str">
            <v>460-2-03111-5</v>
          </cell>
        </row>
        <row r="51">
          <cell r="B51" t="str">
            <v xml:space="preserve">W.S.เซอร์วิส </v>
          </cell>
          <cell r="C51" t="str">
            <v>W.S.เซอร์วิส</v>
          </cell>
          <cell r="D51" t="str">
            <v>KTB</v>
          </cell>
          <cell r="E51" t="str">
            <v>806-0-09277-4</v>
          </cell>
        </row>
        <row r="52">
          <cell r="B52" t="str">
            <v>Wannee  Kunaviriyasiri</v>
          </cell>
          <cell r="C52" t="str">
            <v>Wannee  Kunaviriyasiri</v>
          </cell>
          <cell r="D52" t="str">
            <v>KTB</v>
          </cell>
          <cell r="E52" t="str">
            <v>156-1-05507-7</v>
          </cell>
        </row>
        <row r="53">
          <cell r="B53" t="str">
            <v>YNTZ-CPAC</v>
          </cell>
          <cell r="C53" t="str">
            <v>น.ส.สุภาพร ลิ่มศิลา</v>
          </cell>
          <cell r="D53" t="str">
            <v>Kbank</v>
          </cell>
          <cell r="E53" t="str">
            <v>232-2-42469-0</v>
          </cell>
        </row>
        <row r="54">
          <cell r="B54" t="str">
            <v>ก.แสงทอง</v>
          </cell>
          <cell r="C54" t="str">
            <v>นายธนพงษ์ วรศิริสุวิมล</v>
          </cell>
          <cell r="D54" t="str">
            <v>SCB</v>
          </cell>
          <cell r="E54" t="str">
            <v>333-2-58935-4</v>
          </cell>
        </row>
        <row r="55">
          <cell r="B55" t="str">
            <v xml:space="preserve">ก.แสงทอง </v>
          </cell>
          <cell r="C55" t="str">
            <v xml:space="preserve">นายธนพงษ์ วรศิริสุวิมล </v>
          </cell>
          <cell r="D55" t="str">
            <v>Kbank</v>
          </cell>
          <cell r="E55" t="str">
            <v>037-8-45529-4</v>
          </cell>
        </row>
        <row r="56">
          <cell r="B56" t="str">
            <v>กรมสรรพากร</v>
          </cell>
          <cell r="C56" t="str">
            <v>กรมสรรพากร</v>
          </cell>
          <cell r="D56" t="str">
            <v>QRCode</v>
          </cell>
          <cell r="E56" t="str">
            <v>QRCode</v>
          </cell>
        </row>
        <row r="57">
          <cell r="B57" t="str">
            <v>กฤษฎาค้าเหล็ก</v>
          </cell>
          <cell r="C57" t="str">
            <v>คุณอรุณพงศ์  ก้องวัชรพงศ์</v>
          </cell>
          <cell r="D57" t="str">
            <v>Kbank</v>
          </cell>
          <cell r="E57" t="str">
            <v>460-2-09528-8</v>
          </cell>
        </row>
        <row r="58">
          <cell r="B58" t="str">
            <v>การไฟฟ้าส่วนภูมิภาคจ.ระนอง</v>
          </cell>
          <cell r="C58" t="str">
            <v>การไฟฟ้าส่วนภูมิภาคจ.ระนอง</v>
          </cell>
          <cell r="D58" t="str">
            <v>KTB</v>
          </cell>
          <cell r="E58" t="str">
            <v>806-1-06520-7</v>
          </cell>
        </row>
        <row r="59">
          <cell r="B59" t="str">
            <v>กิจทวีผล</v>
          </cell>
          <cell r="C59" t="str">
            <v>นางอังคณา  ธีรรัตนางกูร</v>
          </cell>
          <cell r="D59" t="str">
            <v>Kbank</v>
          </cell>
          <cell r="E59" t="str">
            <v>116-3-56620-2</v>
          </cell>
        </row>
        <row r="60">
          <cell r="B60" t="str">
            <v>กิจไพศาลคอนสตรัคชั่นฯ TTB</v>
          </cell>
          <cell r="C60" t="str">
            <v xml:space="preserve">บจ.กิจไพศาลคอนสตรัคชั่นแมททีเรียล </v>
          </cell>
          <cell r="D60" t="str">
            <v>TTB</v>
          </cell>
          <cell r="E60" t="str">
            <v>429-2-41109-9</v>
          </cell>
        </row>
        <row r="61">
          <cell r="B61" t="str">
            <v>กิจไพศาลวัสดุ</v>
          </cell>
          <cell r="C61" t="str">
            <v>กิจไพศาลวัสดุ</v>
          </cell>
          <cell r="D61" t="str">
            <v>BBL</v>
          </cell>
          <cell r="E61" t="str">
            <v>527-0-23289-4</v>
          </cell>
        </row>
        <row r="62">
          <cell r="B62" t="str">
            <v xml:space="preserve">กิจไพศาลวัสดุ </v>
          </cell>
          <cell r="C62" t="str">
            <v xml:space="preserve">นายพัชระ รุจิวิวัฒนกุล </v>
          </cell>
          <cell r="D62" t="str">
            <v>TTB</v>
          </cell>
          <cell r="E62" t="str">
            <v>429-2-35062-8</v>
          </cell>
        </row>
        <row r="63">
          <cell r="B63" t="str">
            <v xml:space="preserve">กิจไพศาลวัสดุ  </v>
          </cell>
          <cell r="C63" t="str">
            <v>นายพัชระ รุจิวิวัฒนกุล และ นางปริยากร รุจิวิวัฒนกุล</v>
          </cell>
          <cell r="D63" t="str">
            <v>Kbank</v>
          </cell>
          <cell r="E63" t="str">
            <v>208-3-67523-6</v>
          </cell>
        </row>
        <row r="64">
          <cell r="B64" t="str">
            <v>กิจไพศาลวัสดุ(ด่านชั่ง)</v>
          </cell>
          <cell r="C64" t="str">
            <v>ด.ญ.นรินทร์พร รุจิวิวัฒนกุล</v>
          </cell>
          <cell r="D64" t="str">
            <v>KTB</v>
          </cell>
          <cell r="E64" t="str">
            <v>361-0-26780-1</v>
          </cell>
        </row>
        <row r="65">
          <cell r="B65" t="str">
            <v>กิตตินันท์ค้าของเก่า</v>
          </cell>
          <cell r="C65" t="str">
            <v>นายนู เทียนอำไพ</v>
          </cell>
          <cell r="D65" t="str">
            <v>Kbank</v>
          </cell>
          <cell r="E65" t="str">
            <v>460-2-07971-1</v>
          </cell>
        </row>
        <row r="66">
          <cell r="B66" t="str">
            <v>กิ๊ฟ</v>
          </cell>
          <cell r="C66" t="str">
            <v>น.ส.ธนาภรณ์  รุจิวิวัฒนกุล</v>
          </cell>
          <cell r="D66" t="str">
            <v>BBL</v>
          </cell>
          <cell r="E66" t="str">
            <v>783-0-04515-4</v>
          </cell>
        </row>
        <row r="67">
          <cell r="B67" t="str">
            <v xml:space="preserve">กิ๊ฟ </v>
          </cell>
          <cell r="C67" t="str">
            <v>น.ส.ธนาภรณ์ รุจิวิวัฒนกุล</v>
          </cell>
          <cell r="D67" t="str">
            <v>TTB</v>
          </cell>
          <cell r="E67" t="str">
            <v>021-7-43342-4</v>
          </cell>
        </row>
        <row r="68">
          <cell r="B68" t="str">
            <v>กิ๊ฟ(ตู๋)</v>
          </cell>
          <cell r="C68" t="str">
            <v>น.ส.คนึงนิจ แสงสาคร</v>
          </cell>
          <cell r="D68" t="str">
            <v>Kbank</v>
          </cell>
          <cell r="E68" t="str">
            <v>691-2-03871-6</v>
          </cell>
        </row>
        <row r="69">
          <cell r="B69" t="str">
            <v>โกจุ่ง</v>
          </cell>
          <cell r="C69" t="str">
            <v>นายวรากร  จุลเสนีย์ชร</v>
          </cell>
          <cell r="D69" t="str">
            <v>BBL</v>
          </cell>
          <cell r="E69" t="str">
            <v>527-0-07575-6</v>
          </cell>
        </row>
        <row r="70">
          <cell r="B70" t="str">
            <v>โกจุ่ง (SM)</v>
          </cell>
          <cell r="C70" t="str">
            <v xml:space="preserve">นายวรากร  จุลเสนีย์ชร </v>
          </cell>
          <cell r="D70" t="str">
            <v>BBL</v>
          </cell>
          <cell r="E70" t="str">
            <v>527-0-27008-4</v>
          </cell>
        </row>
        <row r="71">
          <cell r="B71" t="str">
            <v>โกจุ่ง (โอนต่างประเทศ)</v>
          </cell>
          <cell r="C71" t="str">
            <v>นายวรากร  จุลเสนีย์ชร</v>
          </cell>
          <cell r="D71" t="str">
            <v>BBL</v>
          </cell>
          <cell r="E71" t="str">
            <v>527-0-25450-0</v>
          </cell>
        </row>
        <row r="72">
          <cell r="B72" t="str">
            <v>โกเจี้ยว</v>
          </cell>
          <cell r="C72" t="str">
            <v>นายนรเศรษฐ ลิ่มศิลา</v>
          </cell>
          <cell r="D72" t="str">
            <v>Kbank</v>
          </cell>
          <cell r="E72" t="str">
            <v>460-2-02970-6</v>
          </cell>
        </row>
        <row r="73">
          <cell r="B73" t="str">
            <v>โกช้วน</v>
          </cell>
          <cell r="C73" t="str">
            <v>นายสัมพันธ์ ลิ่มศิลา</v>
          </cell>
          <cell r="D73" t="str">
            <v>Kbank</v>
          </cell>
          <cell r="E73" t="str">
            <v>039-8-06351-1</v>
          </cell>
        </row>
        <row r="74">
          <cell r="B74" t="str">
            <v>โกช่อง(BBL)</v>
          </cell>
          <cell r="C74" t="str">
            <v>นายธนู   ทักษิณาวงศ์</v>
          </cell>
          <cell r="D74" t="str">
            <v>BBL</v>
          </cell>
          <cell r="E74" t="str">
            <v>527-0-02422-6</v>
          </cell>
        </row>
        <row r="75">
          <cell r="B75" t="str">
            <v>โกช่อง(KBank)</v>
          </cell>
          <cell r="C75" t="str">
            <v>นายธนู  ทักษิณาวงศ์</v>
          </cell>
          <cell r="D75" t="str">
            <v>Kbank</v>
          </cell>
          <cell r="E75" t="str">
            <v>460-2-00433-9</v>
          </cell>
        </row>
        <row r="76">
          <cell r="B76" t="str">
            <v>โกช่อง(SCB)</v>
          </cell>
          <cell r="C76" t="str">
            <v>นายธนู  ทักษิณาวงศ์ (บัญชีซื้อ$)</v>
          </cell>
          <cell r="D76" t="str">
            <v>SCB</v>
          </cell>
          <cell r="E76" t="str">
            <v>581-2-36413-7</v>
          </cell>
        </row>
        <row r="77">
          <cell r="B77" t="str">
            <v>โกชุ้น</v>
          </cell>
          <cell r="C77" t="str">
            <v>นายพิเชษฐ รุจิวิวัฒนกุล</v>
          </cell>
          <cell r="D77" t="str">
            <v>Kbank</v>
          </cell>
          <cell r="E77" t="str">
            <v>460-2-01397-4</v>
          </cell>
        </row>
        <row r="78">
          <cell r="B78" t="str">
            <v>โกชุ้น (ขนส่ง)</v>
          </cell>
          <cell r="C78" t="str">
            <v>นายมนตรี  อิสริยะวาณิช</v>
          </cell>
          <cell r="D78" t="str">
            <v>Kbank</v>
          </cell>
          <cell r="E78" t="str">
            <v>232-2-21346-0</v>
          </cell>
        </row>
        <row r="79">
          <cell r="B79" t="str">
            <v>โกดังสมบัติ</v>
          </cell>
          <cell r="C79" t="str">
            <v>คุณธีราภรณ์  พรชัยเจริญ</v>
          </cell>
          <cell r="D79" t="str">
            <v>Kbank</v>
          </cell>
          <cell r="E79" t="str">
            <v>232-2-31021-0</v>
          </cell>
        </row>
        <row r="80">
          <cell r="B80" t="str">
            <v>โกแดง</v>
          </cell>
          <cell r="C80" t="str">
            <v>นายธีรวัฒน์  สมแก้ว</v>
          </cell>
          <cell r="D80" t="str">
            <v>KTB</v>
          </cell>
          <cell r="E80" t="str">
            <v>361-0-08851-6</v>
          </cell>
        </row>
        <row r="81">
          <cell r="B81" t="str">
            <v xml:space="preserve">โกแดง </v>
          </cell>
          <cell r="C81" t="str">
            <v xml:space="preserve">นายธีรวัฒน์  สมแก้ว </v>
          </cell>
          <cell r="D81" t="str">
            <v>Kbank</v>
          </cell>
          <cell r="E81" t="str">
            <v>460-2-03450-5</v>
          </cell>
        </row>
        <row r="82">
          <cell r="B82" t="str">
            <v>โกต้ง</v>
          </cell>
          <cell r="C82" t="str">
            <v>นายอดิศักดิ์  รุจิวิวัฒนกุล</v>
          </cell>
          <cell r="D82" t="str">
            <v>Kbank</v>
          </cell>
          <cell r="E82" t="str">
            <v>460-2-01535-7</v>
          </cell>
        </row>
        <row r="83">
          <cell r="B83" t="str">
            <v xml:space="preserve">โกต้ง </v>
          </cell>
          <cell r="C83" t="str">
            <v>นายอดิศักดิ์   รุจิวิวัฒนกุล</v>
          </cell>
          <cell r="D83" t="str">
            <v>Kbank</v>
          </cell>
          <cell r="E83" t="str">
            <v>460-1-00333-9</v>
          </cell>
        </row>
        <row r="84">
          <cell r="B84" t="str">
            <v>โกต้ง (บัญชีส่วนตัว)</v>
          </cell>
          <cell r="C84" t="str">
            <v xml:space="preserve">นายอดิศักดิ์   รุจิวิวัฒนกุล </v>
          </cell>
          <cell r="D84" t="str">
            <v>Kbank</v>
          </cell>
          <cell r="E84" t="str">
            <v>220-1-11296-9</v>
          </cell>
        </row>
        <row r="85">
          <cell r="B85" t="str">
            <v>โกต้ง เพื่อ ธนาภรณ์</v>
          </cell>
          <cell r="C85" t="str">
            <v>นายอดิศักดิ์ รุจิวิวัฒนกุลเพื่อด.ญ.ธนาภรณ์</v>
          </cell>
          <cell r="D85" t="str">
            <v>Kbank</v>
          </cell>
          <cell r="E85" t="str">
            <v>460-2-02025-3</v>
          </cell>
        </row>
        <row r="86">
          <cell r="B86" t="str">
            <v>โกนัย(ขนส่ง)</v>
          </cell>
          <cell r="C86" t="str">
            <v>น.ส.ธานิยา  สอนเสริม</v>
          </cell>
          <cell r="D86" t="str">
            <v>SCB</v>
          </cell>
          <cell r="E86" t="str">
            <v>533-2-26880-3</v>
          </cell>
        </row>
        <row r="87">
          <cell r="B87" t="str">
            <v>โกนิว</v>
          </cell>
          <cell r="C87" t="str">
            <v>นายกิตติพัฒน์  ทองสนิท</v>
          </cell>
          <cell r="D87" t="str">
            <v>BBL</v>
          </cell>
          <cell r="E87" t="str">
            <v>527-0-10105-7</v>
          </cell>
        </row>
        <row r="88">
          <cell r="B88" t="str">
            <v>โกปั้ง</v>
          </cell>
          <cell r="C88" t="str">
            <v>คุณอักษร วัฒนกิจ</v>
          </cell>
          <cell r="D88" t="str">
            <v>Kbank</v>
          </cell>
          <cell r="E88" t="str">
            <v>259-2-17485-8</v>
          </cell>
        </row>
        <row r="89">
          <cell r="B89" t="str">
            <v>โกพันธ์</v>
          </cell>
          <cell r="C89" t="str">
            <v>นายสุรพันธุ์  อีงประเสริฐ</v>
          </cell>
          <cell r="D89" t="str">
            <v>BBL</v>
          </cell>
          <cell r="E89" t="str">
            <v>527-0-01853-3</v>
          </cell>
        </row>
        <row r="90">
          <cell r="B90" t="str">
            <v>โกฟุ้ก(ค่าน้ำมัน-เกาะสอง)BBL</v>
          </cell>
          <cell r="C90" t="str">
            <v>นายสง่า  กังวาล</v>
          </cell>
          <cell r="D90" t="str">
            <v>BBL</v>
          </cell>
          <cell r="E90" t="str">
            <v>291-3-05123-7</v>
          </cell>
        </row>
        <row r="91">
          <cell r="B91" t="str">
            <v>โกฟุ้ก(ค่าน้ำมัน-เกาะสอง)KBank</v>
          </cell>
          <cell r="C91" t="str">
            <v>นายกานต์  กังวาล</v>
          </cell>
          <cell r="D91" t="str">
            <v>Kbank</v>
          </cell>
          <cell r="E91" t="str">
            <v>460-1-01011-4</v>
          </cell>
        </row>
        <row r="92">
          <cell r="B92" t="str">
            <v>โกโรจน์ (ถัง)</v>
          </cell>
          <cell r="C92" t="str">
            <v>นายไพโรจน์  แก้วไพฑูรย์</v>
          </cell>
          <cell r="D92" t="str">
            <v>Kbank</v>
          </cell>
          <cell r="E92" t="str">
            <v>232-1-03997-1</v>
          </cell>
        </row>
        <row r="93">
          <cell r="B93" t="str">
            <v>โกเล็กค้าข้าว</v>
          </cell>
          <cell r="C93" t="str">
            <v>นายไพโรจน์  หนูสมตน</v>
          </cell>
          <cell r="D93" t="str">
            <v>Kbank</v>
          </cell>
          <cell r="E93" t="str">
            <v>232-2-19808-9</v>
          </cell>
        </row>
        <row r="94">
          <cell r="B94" t="str">
            <v>โกวอม (บัญชีส่วนตัว)</v>
          </cell>
          <cell r="C94" t="str">
            <v>นายพัชระ  รุจิวิวัฒนกุล</v>
          </cell>
          <cell r="D94" t="str">
            <v>KTB</v>
          </cell>
          <cell r="E94" t="str">
            <v>361-0-15857-3</v>
          </cell>
        </row>
        <row r="95">
          <cell r="B95" t="str">
            <v>โกวอม(บัญชีส่วนตัว)</v>
          </cell>
          <cell r="C95" t="str">
            <v>นายพัชระ รุจิวิวัฒนกุล</v>
          </cell>
          <cell r="D95" t="str">
            <v>BBL</v>
          </cell>
          <cell r="E95" t="str">
            <v>527-0-18984-7</v>
          </cell>
        </row>
        <row r="96">
          <cell r="B96" t="str">
            <v xml:space="preserve">โกวอม(บัญชีส่วนตัว) </v>
          </cell>
          <cell r="C96" t="str">
            <v xml:space="preserve">นายพัชระ  รุจิวิวัฒนกุล </v>
          </cell>
          <cell r="D96" t="str">
            <v>Kbank</v>
          </cell>
          <cell r="E96" t="str">
            <v>460-2-70508-2</v>
          </cell>
        </row>
        <row r="97">
          <cell r="B97" t="str">
            <v>โกหม้ก (ขนส่ง)</v>
          </cell>
          <cell r="C97" t="str">
            <v>นายมนตรี  ชลิศราพงศ์</v>
          </cell>
          <cell r="D97" t="str">
            <v>KTB</v>
          </cell>
          <cell r="E97" t="str">
            <v>806-1-33394-5</v>
          </cell>
        </row>
        <row r="98">
          <cell r="B98" t="str">
            <v>โกหย่ง</v>
          </cell>
          <cell r="C98" t="str">
            <v>นายยงศิลป์ อ๋องสุวรรณ</v>
          </cell>
          <cell r="D98" t="str">
            <v>BBL</v>
          </cell>
          <cell r="E98" t="str">
            <v>527-0-18045-7</v>
          </cell>
        </row>
        <row r="99">
          <cell r="B99" t="str">
            <v>โกอั้น</v>
          </cell>
          <cell r="C99" t="str">
            <v>นายสมบัติ ตันกุลธร</v>
          </cell>
          <cell r="D99" t="str">
            <v>Kbank</v>
          </cell>
          <cell r="E99" t="str">
            <v>460-2-01608-6</v>
          </cell>
        </row>
        <row r="100">
          <cell r="B100" t="str">
            <v xml:space="preserve">โกอั้น </v>
          </cell>
          <cell r="C100" t="str">
            <v>นายสมบัติ  ตันกุลธร</v>
          </cell>
          <cell r="D100" t="str">
            <v>Kbank</v>
          </cell>
          <cell r="E100" t="str">
            <v>460-2-01403-2</v>
          </cell>
        </row>
        <row r="101">
          <cell r="B101" t="str">
            <v>โกเอ (ขนส่ง)</v>
          </cell>
          <cell r="C101" t="str">
            <v>นายมนตรี  อิสริยะวาณิช</v>
          </cell>
          <cell r="D101" t="str">
            <v>Kbank</v>
          </cell>
          <cell r="E101" t="str">
            <v>232-2-21346-0</v>
          </cell>
        </row>
        <row r="102">
          <cell r="B102" t="str">
            <v>คณะทันตแพทยศาสตร์ มหาวิทยาลัยรังสิต</v>
          </cell>
          <cell r="C102" t="str">
            <v>คณะทันตแพทยศาสตร์ มหาวิทยาลัยรังสิต</v>
          </cell>
          <cell r="D102" t="str">
            <v>BBL</v>
          </cell>
          <cell r="E102" t="str">
            <v>020-0-66666-7</v>
          </cell>
        </row>
        <row r="103">
          <cell r="B103" t="str">
            <v>คลินิคมือถือ</v>
          </cell>
          <cell r="C103" t="str">
            <v>นางดาราวรรณ สังข์สิงห์และ/หรือ นายอลงกรณ์ สังข์สิงห์</v>
          </cell>
          <cell r="D103" t="str">
            <v>SCB</v>
          </cell>
          <cell r="E103" t="str">
            <v>581-2-29335-2</v>
          </cell>
        </row>
        <row r="104">
          <cell r="B104" t="str">
            <v>คุณกชกร  รัตนพันธ์</v>
          </cell>
          <cell r="C104" t="str">
            <v>คุณกชกร  รัตนพันธ์</v>
          </cell>
          <cell r="D104" t="str">
            <v>KTB</v>
          </cell>
          <cell r="E104" t="str">
            <v>806-1-28074-4</v>
          </cell>
        </row>
        <row r="105">
          <cell r="B105" t="str">
            <v>คุณกมลพร  ปักษา</v>
          </cell>
          <cell r="C105" t="str">
            <v>คุณกมลพร  ปักษา</v>
          </cell>
          <cell r="D105" t="str">
            <v>SCB</v>
          </cell>
          <cell r="E105" t="str">
            <v>440-2-92904-0</v>
          </cell>
        </row>
        <row r="106">
          <cell r="B106" t="str">
            <v xml:space="preserve">คุณกมลพร  ปักษา </v>
          </cell>
          <cell r="C106" t="str">
            <v xml:space="preserve">คุณกมลพร  ปักษา </v>
          </cell>
          <cell r="D106" t="str">
            <v>GSB</v>
          </cell>
          <cell r="E106" t="str">
            <v>020-0888-4987-0</v>
          </cell>
        </row>
        <row r="107">
          <cell r="B107" t="str">
            <v>คุณกรชาญสิทธิ์  สุขแจ่ม</v>
          </cell>
          <cell r="C107" t="str">
            <v>คุณกรชาญสิทธิ์  สุขแจ่ม</v>
          </cell>
          <cell r="D107" t="str">
            <v>TTB</v>
          </cell>
          <cell r="E107" t="str">
            <v>429-2-36533-7</v>
          </cell>
        </row>
        <row r="108">
          <cell r="B108" t="str">
            <v>คุณกรรณพร  จันทโชติกุล</v>
          </cell>
          <cell r="C108" t="str">
            <v>คุณกรรณพร  จันทโชติกุล</v>
          </cell>
          <cell r="D108" t="str">
            <v>BBL</v>
          </cell>
          <cell r="E108" t="str">
            <v>291-0-81099-9</v>
          </cell>
        </row>
        <row r="109">
          <cell r="B109" t="str">
            <v>คุณกำธร  ศรีบุณยะแก้ว</v>
          </cell>
          <cell r="C109" t="str">
            <v>คุณกำธร  ศรีบุณยะแก้ว</v>
          </cell>
          <cell r="D109" t="str">
            <v>Kbank</v>
          </cell>
          <cell r="E109" t="str">
            <v>115-2-22870-4</v>
          </cell>
        </row>
        <row r="110">
          <cell r="B110" t="str">
            <v>คุณกิตติพงษ์และคุณชลกานต์</v>
          </cell>
          <cell r="C110" t="str">
            <v>คุณกิตติพงษ์และคุณชลกานต์</v>
          </cell>
          <cell r="D110" t="str">
            <v>Kbank</v>
          </cell>
          <cell r="E110" t="str">
            <v>460-2-05482-4</v>
          </cell>
        </row>
        <row r="111">
          <cell r="B111" t="str">
            <v>คุณเกรียงไกร  เหลืองอ่อน</v>
          </cell>
          <cell r="C111" t="str">
            <v>คุณเกรียงไกร  เหลืองอ่อน</v>
          </cell>
          <cell r="D111" t="str">
            <v>Kbank</v>
          </cell>
          <cell r="E111" t="str">
            <v>012-8-79028-4</v>
          </cell>
        </row>
        <row r="112">
          <cell r="B112" t="str">
            <v>คุณขนิษฐา เสนาพิทักษ์</v>
          </cell>
          <cell r="C112" t="str">
            <v>คุณขนิษฐา เสนาพิทักษ์</v>
          </cell>
          <cell r="D112" t="str">
            <v>KTB</v>
          </cell>
          <cell r="E112" t="str">
            <v>806-0-62084-3</v>
          </cell>
        </row>
        <row r="113">
          <cell r="B113" t="str">
            <v>คุณจิน  เกษมดำรงค์กุล</v>
          </cell>
          <cell r="C113" t="str">
            <v>คุณจิน  เกษมดำรงค์กุล</v>
          </cell>
          <cell r="D113" t="str">
            <v>KTB</v>
          </cell>
          <cell r="E113" t="str">
            <v>001-0-05563-0</v>
          </cell>
        </row>
        <row r="114">
          <cell r="B114" t="str">
            <v>คุณจีระศิริ  ศรีเมือง</v>
          </cell>
          <cell r="C114" t="str">
            <v>คุณจีระศิริ  ศรีเมือง</v>
          </cell>
          <cell r="D114" t="str">
            <v>KTB</v>
          </cell>
          <cell r="E114" t="str">
            <v>361-0-42101-0</v>
          </cell>
        </row>
        <row r="115">
          <cell r="B115" t="str">
            <v>คุณชนันธร  ดีเลิศ</v>
          </cell>
          <cell r="C115" t="str">
            <v>คุณชนันธร  ดีเลิศ</v>
          </cell>
          <cell r="D115" t="str">
            <v>GSB</v>
          </cell>
          <cell r="E115" t="str">
            <v>020-0-8395733-0</v>
          </cell>
        </row>
        <row r="116">
          <cell r="B116" t="str">
            <v>คุณชลกานต์   กุลฐิติกิจ</v>
          </cell>
          <cell r="C116" t="str">
            <v>คุณชลกานต์   กุลฐิติกิจ</v>
          </cell>
          <cell r="D116" t="str">
            <v>TTB</v>
          </cell>
          <cell r="E116" t="str">
            <v>429-2-05907-0</v>
          </cell>
        </row>
        <row r="117">
          <cell r="B117" t="str">
            <v>คุณชลกานต์  กุลฐิติกิจ</v>
          </cell>
          <cell r="C117" t="str">
            <v>คุณชลกานต์  กุลฐิติกิจ</v>
          </cell>
          <cell r="D117" t="str">
            <v>TTB</v>
          </cell>
          <cell r="E117" t="str">
            <v>215-2-41558-0</v>
          </cell>
        </row>
        <row r="118">
          <cell r="B118" t="str">
            <v>คุณเชาว์  สงวนศักดิ์</v>
          </cell>
          <cell r="C118" t="str">
            <v>คุณเชาว์  สงวนศักดิ์</v>
          </cell>
          <cell r="D118" t="str">
            <v>KTB</v>
          </cell>
          <cell r="E118" t="str">
            <v>210-6-01616-6</v>
          </cell>
        </row>
        <row r="119">
          <cell r="B119" t="str">
            <v>คุณฐภรภัทร  ตัน</v>
          </cell>
          <cell r="C119" t="str">
            <v>คุณฐภรภัทร  ตัน</v>
          </cell>
          <cell r="D119" t="str">
            <v>SCB</v>
          </cell>
          <cell r="E119" t="str">
            <v>581-2-22604-6</v>
          </cell>
        </row>
        <row r="120">
          <cell r="B120" t="str">
            <v>คุณเดชาพัชร จตุรพร</v>
          </cell>
          <cell r="C120" t="str">
            <v>คุณเดชาพัชร จตุรพร</v>
          </cell>
          <cell r="D120" t="str">
            <v>Kbank</v>
          </cell>
          <cell r="E120" t="str">
            <v>024-3-36851-0</v>
          </cell>
        </row>
        <row r="121">
          <cell r="B121" t="str">
            <v>คุณธนกฤต  ธีรรัตนางกูร</v>
          </cell>
          <cell r="C121" t="str">
            <v>คุณธนกฤต  ธีรรัตนางกูร</v>
          </cell>
          <cell r="D121" t="str">
            <v>Kbank</v>
          </cell>
          <cell r="E121" t="str">
            <v>460-2-09378-1</v>
          </cell>
        </row>
        <row r="122">
          <cell r="B122" t="str">
            <v>คุณธนัญญา ล้อมวัฒนธรรม</v>
          </cell>
          <cell r="C122" t="str">
            <v>คุณธนัญญา ล้อมวัฒนธรรม</v>
          </cell>
          <cell r="D122" t="str">
            <v>Kbank</v>
          </cell>
          <cell r="E122" t="str">
            <v>120-1-96429-2</v>
          </cell>
        </row>
        <row r="123">
          <cell r="B123" t="str">
            <v>คุณธนุชภรณ์ นพรัตน์</v>
          </cell>
          <cell r="C123" t="str">
            <v>คุณธนุชภรณ์ นพรัตน์</v>
          </cell>
          <cell r="D123" t="str">
            <v>SCB</v>
          </cell>
          <cell r="E123" t="str">
            <v>171-2-75981-0</v>
          </cell>
        </row>
        <row r="124">
          <cell r="B124" t="str">
            <v>คุณนนทรจน์ จันทร์สิงห์</v>
          </cell>
          <cell r="C124" t="str">
            <v>คุณนนทรจน์ จันทร์สิงห์</v>
          </cell>
          <cell r="D124" t="str">
            <v>Kbank</v>
          </cell>
          <cell r="E124" t="str">
            <v>460-2-04973-1</v>
          </cell>
        </row>
        <row r="125">
          <cell r="B125" t="str">
            <v>คุณน้องรัก  อินทสันต์</v>
          </cell>
          <cell r="C125" t="str">
            <v>คุณน้องรัก  อินทสันต์</v>
          </cell>
          <cell r="D125" t="str">
            <v>Kbank</v>
          </cell>
          <cell r="E125" t="str">
            <v>232-2-41703-1</v>
          </cell>
        </row>
        <row r="126">
          <cell r="B126" t="str">
            <v>คุณนิธิ  ทักษิณาวงศ์</v>
          </cell>
          <cell r="C126" t="str">
            <v>คุณนิธิ  ทักษิณาวงศ์</v>
          </cell>
          <cell r="D126" t="str">
            <v>BBL</v>
          </cell>
          <cell r="E126" t="str">
            <v>190-0-56824-5</v>
          </cell>
        </row>
        <row r="127">
          <cell r="B127" t="str">
            <v>คุณนิธิสา บุญเพ็ง</v>
          </cell>
          <cell r="C127" t="str">
            <v>คุณนิธิสา บุญเพ็ง</v>
          </cell>
          <cell r="D127" t="str">
            <v>Kbank</v>
          </cell>
          <cell r="E127" t="str">
            <v>075-8-06999-0</v>
          </cell>
        </row>
        <row r="128">
          <cell r="B128" t="str">
            <v>คุณนุช สร้อยปาน</v>
          </cell>
          <cell r="C128" t="str">
            <v>คุณนุช สร้อยปาน</v>
          </cell>
          <cell r="D128" t="str">
            <v>Kbank</v>
          </cell>
          <cell r="E128" t="str">
            <v>717-2-00368-5</v>
          </cell>
        </row>
        <row r="129">
          <cell r="B129" t="str">
            <v>คุณนุ้ย</v>
          </cell>
          <cell r="C129" t="str">
            <v>คุณนุ้ย  แจ้งประจักษ์</v>
          </cell>
          <cell r="D129" t="str">
            <v>BBL</v>
          </cell>
          <cell r="E129" t="str">
            <v>302-0-73087-9</v>
          </cell>
        </row>
        <row r="130">
          <cell r="B130" t="str">
            <v>คุณบุญชอบ ภาสดา</v>
          </cell>
          <cell r="C130" t="str">
            <v>คุณบุญชอบ ภาสดา</v>
          </cell>
          <cell r="D130" t="str">
            <v>SCB</v>
          </cell>
          <cell r="E130" t="str">
            <v>899-2-46020-9</v>
          </cell>
        </row>
        <row r="131">
          <cell r="B131" t="str">
            <v>คุณเบญจมาศ และ คุณสมชาย ศรีวิทิตกุล</v>
          </cell>
          <cell r="C131" t="str">
            <v>คุณเบญจมาศ และ คุณสมชาย ศรีวิทิตกุล</v>
          </cell>
          <cell r="D131" t="str">
            <v>SCB</v>
          </cell>
          <cell r="E131" t="str">
            <v>046-2-83384-5</v>
          </cell>
        </row>
        <row r="132">
          <cell r="B132" t="str">
            <v>คุณปริษา  สุขกล่ำรัตนา</v>
          </cell>
          <cell r="C132" t="str">
            <v>คุณปริษา  สุขกล่ำรัตนา</v>
          </cell>
          <cell r="D132" t="str">
            <v>KTB</v>
          </cell>
          <cell r="E132" t="str">
            <v>985-2-51386-9</v>
          </cell>
        </row>
        <row r="133">
          <cell r="B133" t="str">
            <v>คุณปรียาฉัตร</v>
          </cell>
          <cell r="C133" t="str">
            <v>นางปรียาฉัตร แซ่อุ๋ย</v>
          </cell>
          <cell r="D133" t="str">
            <v>SCB</v>
          </cell>
          <cell r="E133" t="str">
            <v>581-2-36909-8</v>
          </cell>
        </row>
        <row r="134">
          <cell r="B134" t="str">
            <v>คุณปัญญาพล พงษ์สุน</v>
          </cell>
          <cell r="C134" t="str">
            <v>คุณปัญญาพล พงษ์สุน</v>
          </cell>
          <cell r="D134" t="str">
            <v>Kbank</v>
          </cell>
          <cell r="E134" t="str">
            <v>460-2-03689-3</v>
          </cell>
        </row>
        <row r="135">
          <cell r="B135" t="str">
            <v>คุณพรชัย  บูรณเบญญา</v>
          </cell>
          <cell r="C135" t="str">
            <v>คุณพรชัย  บูรณเบญญา</v>
          </cell>
          <cell r="D135" t="str">
            <v>BBL</v>
          </cell>
          <cell r="E135" t="str">
            <v>170-0-20689-7</v>
          </cell>
        </row>
        <row r="136">
          <cell r="B136" t="str">
            <v>คุณพัฒนี  สื่อเจริญ</v>
          </cell>
          <cell r="C136" t="str">
            <v>คุณพัฒนี  สื่อเจริญ</v>
          </cell>
          <cell r="D136" t="str">
            <v>Kbank</v>
          </cell>
          <cell r="E136" t="str">
            <v>398-2-12279-2</v>
          </cell>
        </row>
        <row r="137">
          <cell r="B137" t="str">
            <v>คุณพิมพ์ลภัส  แซ่เซียว</v>
          </cell>
          <cell r="C137" t="str">
            <v>คุณพิมพ์ลภัส  แซ่เซียว</v>
          </cell>
          <cell r="D137" t="str">
            <v>KTB</v>
          </cell>
          <cell r="E137" t="str">
            <v>361-0-41711-0</v>
          </cell>
        </row>
        <row r="138">
          <cell r="B138" t="str">
            <v>คุณพิศิษฐ  วัลลภศิรินันท์</v>
          </cell>
          <cell r="C138" t="str">
            <v>คุณพิศิษฐ  วัลลภศิรินันท์</v>
          </cell>
          <cell r="D138" t="str">
            <v>Kbank</v>
          </cell>
          <cell r="E138" t="str">
            <v>731-2-73890-7</v>
          </cell>
        </row>
        <row r="139">
          <cell r="B139" t="str">
            <v>คุณภสุ  ธนิตนนท์</v>
          </cell>
          <cell r="C139" t="str">
            <v>นายภสุ  ธนิตนนท์</v>
          </cell>
          <cell r="D139" t="str">
            <v>Kbank</v>
          </cell>
          <cell r="E139" t="str">
            <v>842-2-00842-0</v>
          </cell>
        </row>
        <row r="140">
          <cell r="B140" t="str">
            <v>คุณภาวิณี ลีละบรรยงค์</v>
          </cell>
          <cell r="C140" t="str">
            <v>นางภาวิณี ลีละบรรยงค์</v>
          </cell>
          <cell r="D140" t="str">
            <v>กรุงศรี</v>
          </cell>
          <cell r="E140" t="str">
            <v>528-1-41711-2</v>
          </cell>
        </row>
        <row r="141">
          <cell r="B141" t="str">
            <v>คุณยงยุทธ  จงสุวัฒน์</v>
          </cell>
          <cell r="C141" t="str">
            <v>คุณยงยุทธ  จงสุวัฒน์</v>
          </cell>
          <cell r="D141" t="str">
            <v>Kbank</v>
          </cell>
          <cell r="E141" t="str">
            <v>946-2-04055-2</v>
          </cell>
        </row>
        <row r="142">
          <cell r="B142" t="str">
            <v>คุณยงยุทธ  ทองนรินทร์</v>
          </cell>
          <cell r="C142" t="str">
            <v>คุณยงยุทธ  ทองนรินทร์</v>
          </cell>
          <cell r="D142" t="str">
            <v>BBL</v>
          </cell>
          <cell r="E142" t="str">
            <v>301-5-20394-0</v>
          </cell>
        </row>
        <row r="143">
          <cell r="B143" t="str">
            <v>คุณยงยุทธ ทองนรินทร์</v>
          </cell>
          <cell r="C143" t="str">
            <v>คุณยงยุทธ ทองนรินทร์</v>
          </cell>
          <cell r="D143" t="str">
            <v>Kbank</v>
          </cell>
          <cell r="E143" t="str">
            <v>015-3-29267-1</v>
          </cell>
        </row>
        <row r="144">
          <cell r="B144" t="str">
            <v>คุณเล็ก(แฟนโกช่อง)</v>
          </cell>
          <cell r="C144" t="str">
            <v>น.ส.เพชรนภา  วิไลเจริญตระกูล</v>
          </cell>
          <cell r="D144" t="str">
            <v>SCB</v>
          </cell>
          <cell r="E144" t="str">
            <v>581-2-13145-3</v>
          </cell>
        </row>
        <row r="145">
          <cell r="B145" t="str">
            <v>คุณวันชัย สาระเวก</v>
          </cell>
          <cell r="C145" t="str">
            <v>นายวันชัย สาระเวก</v>
          </cell>
          <cell r="D145" t="str">
            <v>Kbank</v>
          </cell>
          <cell r="E145" t="str">
            <v>180-2-38853-1</v>
          </cell>
        </row>
        <row r="146">
          <cell r="B146" t="str">
            <v>คุณวิเชียร  บุตรศรี</v>
          </cell>
          <cell r="C146" t="str">
            <v>นายวิเชียร  บุตรศรี</v>
          </cell>
          <cell r="D146" t="str">
            <v>BBL</v>
          </cell>
          <cell r="E146" t="str">
            <v>527-0-13638-4</v>
          </cell>
        </row>
        <row r="147">
          <cell r="B147" t="str">
            <v>คุณวุฒิ พิบูลรุจนานนท์</v>
          </cell>
          <cell r="C147" t="str">
            <v>คุณวุฒิ พิบูลรุจนานนท์</v>
          </cell>
          <cell r="D147" t="str">
            <v>Kbank</v>
          </cell>
          <cell r="E147" t="str">
            <v>460-2-02757-6</v>
          </cell>
        </row>
        <row r="148">
          <cell r="B148" t="str">
            <v>คุณวุฒิพันธ์  ศรีตะเถระ</v>
          </cell>
          <cell r="C148" t="str">
            <v>คุณวุฒิพันธ์  ศรีตะเถระ</v>
          </cell>
          <cell r="D148" t="str">
            <v>Kbank</v>
          </cell>
          <cell r="E148" t="str">
            <v>779-2-01445-8</v>
          </cell>
        </row>
        <row r="149">
          <cell r="B149" t="str">
            <v>คุณศรีไพร  ทองขาวขำ</v>
          </cell>
          <cell r="C149" t="str">
            <v>คุณศรีไพร  ทองขาวขำ</v>
          </cell>
          <cell r="D149" t="str">
            <v>KTB</v>
          </cell>
          <cell r="E149" t="str">
            <v>110-1-69492-0</v>
          </cell>
        </row>
        <row r="150">
          <cell r="B150" t="str">
            <v>คุณศศิวัณย์  ชูชัยวิวัฒน์</v>
          </cell>
          <cell r="C150" t="str">
            <v>คุณศศิวัณย์  ชูชัยวิวัฒน์</v>
          </cell>
          <cell r="D150" t="str">
            <v>KTB</v>
          </cell>
          <cell r="E150" t="str">
            <v>832-1-33284-6</v>
          </cell>
        </row>
        <row r="151">
          <cell r="B151" t="str">
            <v>คุณศิรินภา   เพียรบางยาง</v>
          </cell>
          <cell r="C151" t="str">
            <v>คุณศิรินภา   เพียรบางยาง</v>
          </cell>
          <cell r="D151" t="str">
            <v>Kbank</v>
          </cell>
          <cell r="E151" t="str">
            <v>158-3-91314-5</v>
          </cell>
        </row>
        <row r="152">
          <cell r="B152" t="str">
            <v>คุณศิรินภา  เพียรบางยาง</v>
          </cell>
          <cell r="C152" t="str">
            <v>คุณศิรินภา  เพียรบางยาง</v>
          </cell>
          <cell r="D152" t="str">
            <v>Kbank</v>
          </cell>
          <cell r="E152" t="str">
            <v>140-2-03797-9</v>
          </cell>
        </row>
        <row r="153">
          <cell r="B153" t="str">
            <v>คุณสมรักษ์  ประสิทธิพร</v>
          </cell>
          <cell r="C153" t="str">
            <v>คุณสมรักษ์  ประสิทธิพร</v>
          </cell>
          <cell r="D153" t="str">
            <v>BBL</v>
          </cell>
          <cell r="E153" t="str">
            <v>302-4-11611-7</v>
          </cell>
        </row>
        <row r="154">
          <cell r="B154" t="str">
            <v>คุณสุดา  จันทร์แสนโรจน์</v>
          </cell>
          <cell r="C154" t="str">
            <v>คุณสุดา  จันทร์แสนโรจน์</v>
          </cell>
          <cell r="D154" t="str">
            <v>กรุงศรี</v>
          </cell>
          <cell r="E154" t="str">
            <v>124-1-27947-7</v>
          </cell>
        </row>
        <row r="155">
          <cell r="B155" t="str">
            <v>คุณสุทธิวรรณ ศิริ (วีซ่า)</v>
          </cell>
          <cell r="C155" t="str">
            <v>คุณสุทธิวรรณ ศิริ</v>
          </cell>
          <cell r="D155" t="str">
            <v>BBL</v>
          </cell>
          <cell r="E155" t="str">
            <v>118-4-18125-1</v>
          </cell>
        </row>
        <row r="156">
          <cell r="B156" t="str">
            <v>คุณสุรศักดิ์</v>
          </cell>
          <cell r="C156" t="str">
            <v>คุณสุรศักดิ์ สรรพกุล</v>
          </cell>
          <cell r="D156" t="str">
            <v>KTB</v>
          </cell>
          <cell r="E156" t="str">
            <v>361-0-27373-9</v>
          </cell>
        </row>
        <row r="157">
          <cell r="B157" t="str">
            <v>คุณอัศม์พงษ์  พนาวิชัยกุล</v>
          </cell>
          <cell r="C157" t="str">
            <v>คุณอัศม์พงษ์  พนาวิชัยกุล</v>
          </cell>
          <cell r="D157" t="str">
            <v>Kbank</v>
          </cell>
          <cell r="E157" t="str">
            <v>002-8-90964-0</v>
          </cell>
        </row>
        <row r="158">
          <cell r="B158" t="str">
            <v>คุณอำพรรณรัตน์  อยู่มอญ</v>
          </cell>
          <cell r="C158" t="str">
            <v>คุณอำพรรณรัตน์  อยู่มอญ</v>
          </cell>
          <cell r="D158" t="str">
            <v>Kbank</v>
          </cell>
          <cell r="E158" t="str">
            <v>731-2-29936-9</v>
          </cell>
        </row>
        <row r="159">
          <cell r="B159" t="str">
            <v>คุณอุไรวรรณ  พิบูลย์</v>
          </cell>
          <cell r="C159" t="str">
            <v>คุณอุไรวรรณ  พิบูลย์</v>
          </cell>
          <cell r="D159" t="str">
            <v>Kbank</v>
          </cell>
          <cell r="E159" t="str">
            <v>268-2-16078-3</v>
          </cell>
        </row>
        <row r="160">
          <cell r="B160" t="str">
            <v>คุณเอกชัย ศรีประดิษฐ์</v>
          </cell>
          <cell r="C160" t="str">
            <v>คุณเอกชัย ศรีประดิษฐ์</v>
          </cell>
          <cell r="D160" t="str">
            <v>กรุงศรี</v>
          </cell>
          <cell r="E160" t="str">
            <v>443-1-24622-6</v>
          </cell>
        </row>
        <row r="161">
          <cell r="B161" t="str">
            <v>เงินบริจาคกฐิน กสร.</v>
          </cell>
          <cell r="C161" t="str">
            <v>เงินบริจาคกฐิน กสร.</v>
          </cell>
          <cell r="D161" t="str">
            <v>KTB</v>
          </cell>
          <cell r="E161" t="str">
            <v>383-1-04488-0</v>
          </cell>
        </row>
        <row r="162">
          <cell r="B162" t="str">
            <v>เงินบำรุงศูนย์วิทยาศาสตร์การแพทย์ที่11 สุราษฎ์ธานี</v>
          </cell>
          <cell r="C162" t="str">
            <v>เงินบำรุงศูนย์วิทยาศาสตร์การแพทย์ที่11 สุราษฎ์ธานี</v>
          </cell>
          <cell r="D162" t="str">
            <v>KTB</v>
          </cell>
          <cell r="E162" t="str">
            <v>981-8-94859-9</v>
          </cell>
        </row>
        <row r="163">
          <cell r="B163" t="str">
            <v>เงินฝากเทศบาลต.ปากน้ำท่าเรือ</v>
          </cell>
          <cell r="C163" t="str">
            <v>เงินฝากเทศบาลต.ปากน้ำท่าเรือ</v>
          </cell>
          <cell r="D163" t="str">
            <v>KTB</v>
          </cell>
          <cell r="E163" t="str">
            <v>806-1-27100-1</v>
          </cell>
        </row>
        <row r="164">
          <cell r="B164" t="str">
            <v>จี้แนน(BBL)</v>
          </cell>
          <cell r="C164" t="str">
            <v>น.ส.สุวีดา วิริยานนท์</v>
          </cell>
          <cell r="D164" t="str">
            <v>BBL</v>
          </cell>
          <cell r="E164" t="str">
            <v>527-0-19055-5</v>
          </cell>
        </row>
        <row r="165">
          <cell r="B165" t="str">
            <v>จี้เมธ์</v>
          </cell>
          <cell r="C165" t="str">
            <v>น.ส.เมธ์วดี    รุจิวิวัฒนกุล</v>
          </cell>
          <cell r="D165" t="str">
            <v>Kbank</v>
          </cell>
          <cell r="E165" t="str">
            <v>787-2-11980-3</v>
          </cell>
        </row>
        <row r="166">
          <cell r="B166" t="str">
            <v xml:space="preserve">จี้เมธ์ </v>
          </cell>
          <cell r="C166" t="str">
            <v>น.ส.เมธ์วดี  รุจิวิวัฒนกุล</v>
          </cell>
          <cell r="D166" t="str">
            <v>KTB</v>
          </cell>
          <cell r="E166" t="str">
            <v>806-0-43357-1</v>
          </cell>
        </row>
        <row r="167">
          <cell r="B167" t="str">
            <v xml:space="preserve">จี้เมธ์  </v>
          </cell>
          <cell r="C167" t="str">
            <v xml:space="preserve">น.ส.เมธ์วดี   รุจิวิวัฒนกุล </v>
          </cell>
          <cell r="D167" t="str">
            <v>BBL</v>
          </cell>
          <cell r="E167" t="str">
            <v>527-0-16256-2</v>
          </cell>
        </row>
        <row r="168">
          <cell r="B168" t="str">
            <v xml:space="preserve">จี้เมธ์   </v>
          </cell>
          <cell r="C168" t="str">
            <v xml:space="preserve">น.ส.เมธ์วดี   รุจิวิวัฒนกุล  </v>
          </cell>
          <cell r="D168" t="str">
            <v>TTB</v>
          </cell>
          <cell r="E168" t="str">
            <v>429-2-46474-2</v>
          </cell>
        </row>
        <row r="169">
          <cell r="B169" t="str">
            <v>จี้เมธ์   .</v>
          </cell>
          <cell r="C169" t="str">
            <v xml:space="preserve"> น.ส. เมธ์วดี   รุจิวิวัฒนกุล</v>
          </cell>
          <cell r="D169" t="str">
            <v>TTB</v>
          </cell>
          <cell r="E169" t="str">
            <v>429-2-41105-7</v>
          </cell>
        </row>
        <row r="170">
          <cell r="B170" t="str">
            <v>จี้เมธ์ .</v>
          </cell>
          <cell r="C170" t="str">
            <v>น.ส.เมธ์วดี   รุจิวิวัฒนกุล</v>
          </cell>
          <cell r="D170" t="str">
            <v>BBL</v>
          </cell>
          <cell r="E170" t="str">
            <v>527-0-26230-5</v>
          </cell>
        </row>
        <row r="171">
          <cell r="B171" t="str">
            <v>จี้เมธ์.</v>
          </cell>
          <cell r="C171" t="str">
            <v>น.ส. เมธ์วดี   รุจิวิวัฒนกุล</v>
          </cell>
          <cell r="D171" t="str">
            <v>BBL</v>
          </cell>
          <cell r="E171" t="str">
            <v>527-0-25845-1</v>
          </cell>
        </row>
        <row r="172">
          <cell r="B172" t="str">
            <v>จี้เมธ์ GSB</v>
          </cell>
          <cell r="C172" t="str">
            <v xml:space="preserve">น.ส.เมธ์วดี   รุจิวิวัฒนกุล   </v>
          </cell>
          <cell r="D172" t="str">
            <v>GSB</v>
          </cell>
          <cell r="E172" t="str">
            <v>020-3-9768506-4</v>
          </cell>
        </row>
        <row r="173">
          <cell r="B173" t="str">
            <v>จี้หม่วย</v>
          </cell>
          <cell r="C173" t="str">
            <v>นางจิดาภา รุจิวิวัฒนกุล</v>
          </cell>
          <cell r="D173" t="str">
            <v>TTB</v>
          </cell>
          <cell r="E173" t="str">
            <v>429-2-38033-6</v>
          </cell>
        </row>
        <row r="174">
          <cell r="B174" t="str">
            <v>จี้หม่วย(ค่าผ่านแพ)</v>
          </cell>
          <cell r="C174" t="str">
            <v xml:space="preserve">นางจิดาภา  รุจิวิวัฒนกุล </v>
          </cell>
          <cell r="D174" t="str">
            <v>Kbank</v>
          </cell>
          <cell r="E174" t="str">
            <v>232-2-30082-7</v>
          </cell>
        </row>
        <row r="175">
          <cell r="B175" t="str">
            <v>จี้หม่อย</v>
          </cell>
          <cell r="C175" t="str">
            <v>นางนภาพร  ตีรวัฒน์</v>
          </cell>
          <cell r="D175" t="str">
            <v>BBL</v>
          </cell>
          <cell r="E175" t="str">
            <v>783-0-01693-2</v>
          </cell>
        </row>
        <row r="176">
          <cell r="B176" t="str">
            <v>จี้หยิน</v>
          </cell>
          <cell r="C176" t="str">
            <v>นางสุวรรณา ลิ่มศิลา</v>
          </cell>
          <cell r="D176" t="str">
            <v>Kbank</v>
          </cell>
          <cell r="E176" t="str">
            <v>758-2-25286-0</v>
          </cell>
        </row>
        <row r="177">
          <cell r="B177" t="str">
            <v xml:space="preserve">จี้หยิน </v>
          </cell>
          <cell r="C177" t="str">
            <v>นางสุวรรณา  ลิ่มศิลา</v>
          </cell>
          <cell r="D177" t="str">
            <v>BBL</v>
          </cell>
          <cell r="E177" t="str">
            <v>211-0-84371-7</v>
          </cell>
        </row>
        <row r="178">
          <cell r="B178" t="str">
            <v>จุ๋มจิ๋มพลาซ่า</v>
          </cell>
          <cell r="C178" t="str">
            <v>น.ส.นิตย์ชนก อำพันธ์สุข</v>
          </cell>
          <cell r="D178" t="str">
            <v>SCB</v>
          </cell>
          <cell r="E178" t="str">
            <v>581-2-25366-1</v>
          </cell>
        </row>
        <row r="179">
          <cell r="B179" t="str">
            <v>เจ้ส่วน</v>
          </cell>
          <cell r="C179" t="str">
            <v>นายมนูญ  ต้นน้ำนิ่ง</v>
          </cell>
          <cell r="D179" t="str">
            <v>ธกส</v>
          </cell>
          <cell r="E179" t="str">
            <v>016-1-9239591-6</v>
          </cell>
        </row>
        <row r="180">
          <cell r="B180" t="str">
            <v>ชมรมแพปลาจ.ระนอง</v>
          </cell>
          <cell r="C180" t="str">
            <v>ชมรมแพปลาจ.ระนอง</v>
          </cell>
          <cell r="D180" t="str">
            <v>BBL</v>
          </cell>
          <cell r="E180" t="str">
            <v>527-0-24187-9</v>
          </cell>
        </row>
        <row r="181">
          <cell r="B181" t="str">
            <v>ชัยวัฒน์การช่าง</v>
          </cell>
          <cell r="C181" t="str">
            <v>นายวิสุข แซ่ตัน</v>
          </cell>
          <cell r="D181" t="str">
            <v>Kbank</v>
          </cell>
          <cell r="E181" t="str">
            <v>460-2-00354-5</v>
          </cell>
        </row>
        <row r="182">
          <cell r="B182" t="str">
            <v>ชัยสิงห์ชิปปิ้ง</v>
          </cell>
          <cell r="C182" t="str">
            <v>นายชัยสิงห์  ทองเกื้อ</v>
          </cell>
          <cell r="D182" t="str">
            <v>Kbank</v>
          </cell>
          <cell r="E182" t="str">
            <v>232-2-11464-0</v>
          </cell>
        </row>
        <row r="183">
          <cell r="B183" t="str">
            <v>ช่าง ประพล</v>
          </cell>
          <cell r="C183" t="str">
            <v>นายประพล  บุญอินทร์</v>
          </cell>
          <cell r="D183" t="str">
            <v>SCB</v>
          </cell>
          <cell r="E183" t="str">
            <v>424-0-46846-0</v>
          </cell>
        </row>
        <row r="184">
          <cell r="B184" t="str">
            <v>ช่างเก่ง</v>
          </cell>
          <cell r="C184" t="str">
            <v>นายเจริญชัย  ศิริพาสาร</v>
          </cell>
          <cell r="D184" t="str">
            <v>Kbank</v>
          </cell>
          <cell r="E184" t="str">
            <v>052-1-81493-4</v>
          </cell>
        </row>
        <row r="185">
          <cell r="B185" t="str">
            <v xml:space="preserve">ช่างเก่ง </v>
          </cell>
          <cell r="C185" t="str">
            <v>นางศิริรัตน์  ศิริพาสาร</v>
          </cell>
          <cell r="D185" t="str">
            <v>Kbank</v>
          </cell>
          <cell r="E185" t="str">
            <v>131-3-69757-2</v>
          </cell>
        </row>
        <row r="186">
          <cell r="B186" t="str">
            <v>ช่างไก่</v>
          </cell>
          <cell r="C186" t="str">
            <v>นายปิยะวัฒน์  แก้วทรัพย์</v>
          </cell>
          <cell r="D186" t="str">
            <v>TTB</v>
          </cell>
          <cell r="E186" t="str">
            <v>038-7-27476-4</v>
          </cell>
        </row>
        <row r="187">
          <cell r="B187" t="str">
            <v>ช่างซ่อมเครน</v>
          </cell>
          <cell r="C187" t="str">
            <v>นายชายแดน เห็มสังหาร</v>
          </cell>
          <cell r="D187" t="str">
            <v>Kbank</v>
          </cell>
          <cell r="E187" t="str">
            <v>340-0-37192-8</v>
          </cell>
        </row>
        <row r="188">
          <cell r="B188" t="str">
            <v>ช่างเดช</v>
          </cell>
          <cell r="C188" t="str">
            <v>นายปิยเดช รชดินโอภาส</v>
          </cell>
          <cell r="D188" t="str">
            <v>Kbank</v>
          </cell>
          <cell r="E188" t="str">
            <v>011-8-37507-6</v>
          </cell>
        </row>
        <row r="189">
          <cell r="B189" t="str">
            <v xml:space="preserve">ช่างเดช </v>
          </cell>
          <cell r="C189" t="str">
            <v xml:space="preserve">นายปิยเดช รชดินโอภาส </v>
          </cell>
          <cell r="D189" t="str">
            <v>Kbank</v>
          </cell>
          <cell r="E189" t="str">
            <v>008-8-18597-8</v>
          </cell>
        </row>
        <row r="190">
          <cell r="B190" t="str">
            <v>ช่างบี้</v>
          </cell>
          <cell r="C190" t="str">
            <v>มาลินี อาลัยกลาง</v>
          </cell>
          <cell r="D190" t="str">
            <v>Kbank</v>
          </cell>
          <cell r="E190" t="str">
            <v>033-8-50658-9</v>
          </cell>
        </row>
        <row r="191">
          <cell r="B191" t="str">
            <v>ช่างประพล</v>
          </cell>
          <cell r="C191" t="str">
            <v>นายประพล บุญอินทร์</v>
          </cell>
          <cell r="D191" t="str">
            <v>BBL</v>
          </cell>
          <cell r="E191" t="str">
            <v>291-0-67501-2</v>
          </cell>
        </row>
        <row r="192">
          <cell r="B192" t="str">
            <v xml:space="preserve">ช่างประพล </v>
          </cell>
          <cell r="C192" t="str">
            <v xml:space="preserve">นายประพล บุญอินทร์ </v>
          </cell>
          <cell r="D192" t="str">
            <v>KTB</v>
          </cell>
          <cell r="E192" t="str">
            <v>806-0-65004-1</v>
          </cell>
        </row>
        <row r="193">
          <cell r="B193" t="str">
            <v>ช่างพร</v>
          </cell>
          <cell r="C193" t="str">
            <v>นายอนันต์ชัย  รอดตัวดี</v>
          </cell>
          <cell r="D193" t="str">
            <v>BBL</v>
          </cell>
          <cell r="E193" t="str">
            <v>211-0-62990-0</v>
          </cell>
        </row>
        <row r="194">
          <cell r="B194" t="str">
            <v xml:space="preserve">ช่างพร </v>
          </cell>
          <cell r="C194" t="str">
            <v>นายอนันต์ชัย   รอดตัวดี</v>
          </cell>
          <cell r="D194" t="str">
            <v>GSB</v>
          </cell>
          <cell r="E194" t="str">
            <v>020-0-6749049-8</v>
          </cell>
        </row>
        <row r="195">
          <cell r="B195" t="str">
            <v xml:space="preserve">ช่างพร   </v>
          </cell>
          <cell r="C195" t="str">
            <v xml:space="preserve">นายอนันต์ชัย  รอดตัวดี </v>
          </cell>
          <cell r="D195" t="str">
            <v>BBL</v>
          </cell>
          <cell r="E195" t="str">
            <v>268-4-58302-0</v>
          </cell>
        </row>
        <row r="196">
          <cell r="B196" t="str">
            <v>ช่างพร.</v>
          </cell>
          <cell r="C196" t="str">
            <v>นางอัจฉรา  จารุประกร</v>
          </cell>
          <cell r="D196" t="str">
            <v>Kbank</v>
          </cell>
          <cell r="E196" t="str">
            <v>008-2-44603-8</v>
          </cell>
        </row>
        <row r="197">
          <cell r="B197" t="str">
            <v>ช่างพิศาล</v>
          </cell>
          <cell r="C197" t="str">
            <v>นายพิศาล  กลั่นสุรินทร์</v>
          </cell>
          <cell r="D197" t="str">
            <v>TTB</v>
          </cell>
          <cell r="E197" t="str">
            <v>791-2-00185-1</v>
          </cell>
        </row>
        <row r="198">
          <cell r="B198" t="str">
            <v>ช่างเพชร</v>
          </cell>
          <cell r="C198" t="str">
            <v>นายเดชา  เนาวพฤกษ์</v>
          </cell>
          <cell r="D198" t="str">
            <v>TTB</v>
          </cell>
          <cell r="E198" t="str">
            <v>429-2-21734-8</v>
          </cell>
        </row>
        <row r="199">
          <cell r="B199" t="str">
            <v>ช่างแมว</v>
          </cell>
          <cell r="C199" t="str">
            <v>นายธนโชติ  โพธิ์กลอย</v>
          </cell>
          <cell r="D199" t="str">
            <v>SCB</v>
          </cell>
          <cell r="E199" t="str">
            <v>581-2-34825-4</v>
          </cell>
        </row>
        <row r="200">
          <cell r="B200" t="str">
            <v>ช่างยุทธ (YTอิเลคทรอนิคส์)</v>
          </cell>
          <cell r="C200" t="str">
            <v>นายยงยุทธ  ทองนรินทร์</v>
          </cell>
          <cell r="D200" t="str">
            <v>BBL</v>
          </cell>
          <cell r="E200" t="str">
            <v>280-0-61546-6</v>
          </cell>
        </row>
        <row r="201">
          <cell r="B201" t="str">
            <v>ช่างเยื้อน</v>
          </cell>
          <cell r="C201" t="str">
            <v>นายเยื้อน  ช่วยมั่นคง</v>
          </cell>
          <cell r="D201" t="str">
            <v>BBL</v>
          </cell>
          <cell r="E201" t="str">
            <v>527-0-08356-0</v>
          </cell>
        </row>
        <row r="202">
          <cell r="B202" t="str">
            <v>ช่างรวม</v>
          </cell>
          <cell r="C202" t="str">
            <v>นายอดิศร  ศรีเมือง</v>
          </cell>
          <cell r="D202" t="str">
            <v>Kbank</v>
          </cell>
          <cell r="E202" t="str">
            <v>460-2-06579-6</v>
          </cell>
        </row>
        <row r="203">
          <cell r="B203" t="str">
            <v>ช่างวี</v>
          </cell>
          <cell r="C203" t="str">
            <v>นายทวี  ชัยฉิม</v>
          </cell>
          <cell r="D203" t="str">
            <v>KTB</v>
          </cell>
          <cell r="E203" t="str">
            <v>006-1-58375-0</v>
          </cell>
        </row>
        <row r="204">
          <cell r="B204" t="str">
            <v>ช่างศักดิ์</v>
          </cell>
          <cell r="C204" t="str">
            <v>นายวัชรพงษ์  วงศ์จันทร์มณี</v>
          </cell>
          <cell r="D204" t="str">
            <v>TTB</v>
          </cell>
          <cell r="E204" t="str">
            <v>429-2-12310-8</v>
          </cell>
        </row>
        <row r="205">
          <cell r="B205" t="str">
            <v>ช่างสมคิด</v>
          </cell>
          <cell r="C205" t="str">
            <v>นายสมคิด  เรืองทิพย์</v>
          </cell>
          <cell r="D205" t="str">
            <v>SCB</v>
          </cell>
          <cell r="E205" t="str">
            <v>440-2-21532-8</v>
          </cell>
        </row>
        <row r="206">
          <cell r="B206" t="str">
            <v>ช่างสิงค์</v>
          </cell>
          <cell r="C206" t="str">
            <v>จาริศา สูงยิ่ง</v>
          </cell>
          <cell r="D206" t="str">
            <v>BBL</v>
          </cell>
          <cell r="E206" t="str">
            <v>291-0-83344-7</v>
          </cell>
        </row>
        <row r="207">
          <cell r="B207" t="str">
            <v>ช่างสุวิทย์</v>
          </cell>
          <cell r="C207" t="str">
            <v>นางสุนี  มิ่งสมร</v>
          </cell>
          <cell r="D207" t="str">
            <v>SCB</v>
          </cell>
          <cell r="E207" t="str">
            <v>704-2-51946-5</v>
          </cell>
        </row>
        <row r="208">
          <cell r="B208" t="str">
            <v xml:space="preserve">ช่างสุวิทย์ </v>
          </cell>
          <cell r="C208" t="str">
            <v>นายสุวิทย์  มิ่งสมร</v>
          </cell>
          <cell r="D208" t="str">
            <v>SCB</v>
          </cell>
          <cell r="E208" t="str">
            <v>437-0-88815-8</v>
          </cell>
        </row>
        <row r="209">
          <cell r="B209" t="str">
            <v>ช่างเสริฐ</v>
          </cell>
          <cell r="C209" t="str">
            <v>นายประเสริฐ และ บุญเรือง ไทรชมภู</v>
          </cell>
          <cell r="D209" t="str">
            <v>SCB</v>
          </cell>
          <cell r="E209" t="str">
            <v>611-3-01496-0</v>
          </cell>
        </row>
        <row r="210">
          <cell r="B210" t="str">
            <v>ช่างเสริฐ-โรงเลื่อย</v>
          </cell>
          <cell r="C210" t="str">
            <v>นายสมศักดิ์ จันทร์รุ่งรัศมี</v>
          </cell>
          <cell r="D210" t="str">
            <v>KTB</v>
          </cell>
          <cell r="E210" t="str">
            <v>806-1-59229-0</v>
          </cell>
        </row>
        <row r="211">
          <cell r="B211" t="str">
            <v>ช่างหมู</v>
          </cell>
          <cell r="C211" t="str">
            <v>นายธรรมนูญ  ชูสุข</v>
          </cell>
          <cell r="D211" t="str">
            <v>Kbank</v>
          </cell>
          <cell r="E211" t="str">
            <v>460-2-04283-4</v>
          </cell>
        </row>
        <row r="212">
          <cell r="B212" t="str">
            <v xml:space="preserve">ช่างหมู </v>
          </cell>
          <cell r="C212" t="str">
            <v xml:space="preserve">นายธรรมนูญ  ชูสุข </v>
          </cell>
          <cell r="D212" t="str">
            <v>KTB</v>
          </cell>
          <cell r="E212" t="str">
            <v>802-0-48306-3</v>
          </cell>
        </row>
        <row r="213">
          <cell r="B213" t="str">
            <v>ชาญสยามขนส่ง</v>
          </cell>
          <cell r="C213" t="str">
            <v>นายคุณัช  ตัณฑะจินนะ</v>
          </cell>
          <cell r="D213" t="str">
            <v>Kbank</v>
          </cell>
          <cell r="E213" t="str">
            <v>232-2-26225-9</v>
          </cell>
        </row>
        <row r="214">
          <cell r="B214" t="str">
            <v>ชาวระนองเพื่อการกุศล โดย นายธวัชชัย</v>
          </cell>
          <cell r="C214" t="str">
            <v>ชาวระนองเพื่อการกุศล โดย นายธวัชชัย</v>
          </cell>
          <cell r="D214" t="str">
            <v>QRCode</v>
          </cell>
          <cell r="E214" t="str">
            <v>QRCode</v>
          </cell>
        </row>
        <row r="215">
          <cell r="B215" t="str">
            <v>ชูศักดิ์การพิมพ์</v>
          </cell>
          <cell r="C215" t="str">
            <v>น.ส.นฤวรรณ  จันทร์บูรณะศิริ</v>
          </cell>
          <cell r="D215" t="str">
            <v>GSB</v>
          </cell>
          <cell r="E215" t="str">
            <v>020-3-02652-738</v>
          </cell>
        </row>
        <row r="216">
          <cell r="B216" t="str">
            <v xml:space="preserve">ชูศักดิ์การพิมพ์ </v>
          </cell>
          <cell r="C216" t="str">
            <v>นางทับทิม จันทร์บูรณะศิริ</v>
          </cell>
          <cell r="D216" t="str">
            <v>KTB</v>
          </cell>
          <cell r="E216" t="str">
            <v>806-0-63436-4</v>
          </cell>
        </row>
        <row r="217">
          <cell r="B217" t="str">
            <v>ณัฐชยาอะไหล่</v>
          </cell>
          <cell r="C217" t="str">
            <v>คุณภูวดล  พุทธสำราญ</v>
          </cell>
          <cell r="D217" t="str">
            <v>BAY</v>
          </cell>
          <cell r="E217" t="str">
            <v>777-9-23999-7</v>
          </cell>
        </row>
        <row r="218">
          <cell r="B218" t="str">
            <v>ด.ต.วิสิษฐ  สร้อยเสม</v>
          </cell>
          <cell r="C218" t="str">
            <v>ด.ต.วิสิษฐ  สร้อยเสม</v>
          </cell>
          <cell r="D218" t="str">
            <v>KTB</v>
          </cell>
          <cell r="E218" t="str">
            <v>806-1-61917-2</v>
          </cell>
        </row>
        <row r="219">
          <cell r="B219" t="str">
            <v>เดิน-วิ่ง ท้าฝน เมืองฝน8</v>
          </cell>
          <cell r="C219" t="str">
            <v>เดิน-วิ่ง ท้าฝน เมืองฝน8</v>
          </cell>
          <cell r="D219" t="str">
            <v>KTB</v>
          </cell>
          <cell r="E219" t="str">
            <v>806-0-75766-0</v>
          </cell>
        </row>
        <row r="220">
          <cell r="B220" t="str">
            <v>ต้นน้ำจืด</v>
          </cell>
          <cell r="C220" t="str">
            <v>นายสำราญ  เทพทอง</v>
          </cell>
          <cell r="D220" t="str">
            <v>KTB</v>
          </cell>
          <cell r="E220" t="str">
            <v>806-1-09217-4</v>
          </cell>
        </row>
        <row r="221">
          <cell r="B221" t="str">
            <v>ตะวันการค้า</v>
          </cell>
          <cell r="C221" t="str">
            <v>นายสุรศักดิ์  แซ่ตัน</v>
          </cell>
          <cell r="D221" t="str">
            <v>SCB</v>
          </cell>
          <cell r="E221" t="str">
            <v>581-2-08833-3</v>
          </cell>
        </row>
        <row r="222">
          <cell r="B222" t="str">
            <v>ตั้งข้าวสาร</v>
          </cell>
          <cell r="C222" t="str">
            <v>นายศุภสิทธิ  อรรคพิพัฒน์</v>
          </cell>
          <cell r="D222" t="str">
            <v>Kbank</v>
          </cell>
          <cell r="E222" t="str">
            <v>232-2-33224-9</v>
          </cell>
        </row>
        <row r="223">
          <cell r="B223" t="str">
            <v>ตันเก้ง (ที.เค. วัน)</v>
          </cell>
          <cell r="C223" t="str">
            <v>น.ส.รัฐนันท์  ตันติเวทเรืองเดช</v>
          </cell>
          <cell r="D223" t="str">
            <v>Kbank</v>
          </cell>
          <cell r="E223" t="str">
            <v>063-3-82366-9</v>
          </cell>
        </row>
        <row r="224">
          <cell r="B224" t="str">
            <v>ตันเก้ง (ที.เค.วัน)</v>
          </cell>
          <cell r="C224" t="str">
            <v>น.ส. รัฐนันท์  ตันติเวทเรืองเดช</v>
          </cell>
          <cell r="D224" t="str">
            <v>Kbank</v>
          </cell>
          <cell r="E224" t="str">
            <v>150-8-20100-8</v>
          </cell>
        </row>
        <row r="225">
          <cell r="B225" t="str">
            <v>ตู๋ (ค่าที่ดิน)</v>
          </cell>
          <cell r="C225" t="str">
            <v xml:space="preserve">นายพัฒนพงษ์  รุจิวิวัฒนกุล </v>
          </cell>
          <cell r="D225" t="str">
            <v>ธกส</v>
          </cell>
          <cell r="E225" t="str">
            <v>020-1-6603913-3</v>
          </cell>
        </row>
        <row r="226">
          <cell r="B226" t="str">
            <v>ตู๋ (ค่าบ้าน)</v>
          </cell>
          <cell r="C226" t="str">
            <v>นายพัฒนพงษ์ รุจิวิวัฒนกุล</v>
          </cell>
          <cell r="D226" t="str">
            <v>BBL</v>
          </cell>
          <cell r="E226" t="str">
            <v>527-0-21275-5</v>
          </cell>
        </row>
        <row r="227">
          <cell r="B227" t="str">
            <v>ตู๋ (เงินโอน)</v>
          </cell>
          <cell r="C227" t="str">
            <v xml:space="preserve">นายพัฒนพงษ์ รุจิวิวัฒนกุล </v>
          </cell>
          <cell r="D227" t="str">
            <v>BBL</v>
          </cell>
          <cell r="E227" t="str">
            <v>527-0-20615-3</v>
          </cell>
        </row>
        <row r="228">
          <cell r="B228" t="str">
            <v>ตู๋ (บัญชีท่าเรือ)</v>
          </cell>
          <cell r="C228" t="str">
            <v xml:space="preserve">นายพัฒนพงษ์ รุจิวิวัฒนกุล   </v>
          </cell>
          <cell r="D228" t="str">
            <v>Kbank</v>
          </cell>
          <cell r="E228" t="str">
            <v>024-3-28569-0</v>
          </cell>
        </row>
        <row r="229">
          <cell r="B229" t="str">
            <v>ถิรภาพกระจก</v>
          </cell>
          <cell r="C229" t="str">
            <v>คุณนันทา  นวมเผือก</v>
          </cell>
          <cell r="D229" t="str">
            <v>Kbank</v>
          </cell>
          <cell r="E229" t="str">
            <v>460-2-10703-0</v>
          </cell>
        </row>
        <row r="230">
          <cell r="B230" t="str">
            <v xml:space="preserve">ถิรภาพกระจก </v>
          </cell>
          <cell r="C230" t="str">
            <v>นายถิรภาพ  วิรุฬห์รักษ์สกุล</v>
          </cell>
          <cell r="D230" t="str">
            <v>TTB</v>
          </cell>
          <cell r="E230" t="str">
            <v>429-2-09698-1</v>
          </cell>
        </row>
        <row r="231">
          <cell r="B231" t="str">
            <v>ทวีศักดิ์การไฟฟ้า</v>
          </cell>
          <cell r="C231" t="str">
            <v>นายอาทิตย์ จตุพรพิทักษ์</v>
          </cell>
          <cell r="D231" t="str">
            <v>Kbank</v>
          </cell>
          <cell r="E231" t="str">
            <v>232-2-42122-5</v>
          </cell>
        </row>
        <row r="232">
          <cell r="B232" t="str">
            <v>ทิพย์ (ท่าเรือฯ)</v>
          </cell>
          <cell r="C232" t="str">
            <v>ณิชาภา  เคนโพธิ์</v>
          </cell>
          <cell r="D232" t="str">
            <v>P-Pay</v>
          </cell>
          <cell r="E232" t="str">
            <v>087-887-9922</v>
          </cell>
        </row>
        <row r="233">
          <cell r="B233" t="str">
            <v>ทิพย์ (ท่าเรือฯ)2</v>
          </cell>
          <cell r="C233" t="str">
            <v>น.ส.ณิชาภา  เคนโพธิ์</v>
          </cell>
          <cell r="D233" t="str">
            <v>P-Pay</v>
          </cell>
          <cell r="E233" t="str">
            <v>061-091-9922</v>
          </cell>
        </row>
        <row r="234">
          <cell r="B234" t="str">
            <v>ทิพย์(ท่าเรือฯ)</v>
          </cell>
          <cell r="C234" t="str">
            <v>น.ส. ณิชาภา  เคนโพธิ์</v>
          </cell>
          <cell r="D234" t="str">
            <v>BBL</v>
          </cell>
          <cell r="E234" t="str">
            <v>527-0-14379-4</v>
          </cell>
        </row>
        <row r="235">
          <cell r="B235" t="str">
            <v>เทศบาลเมืองบางริ้น</v>
          </cell>
          <cell r="C235" t="str">
            <v>เทศบาลเมืองบางริ้น</v>
          </cell>
          <cell r="D235" t="str">
            <v>QRCode</v>
          </cell>
          <cell r="E235" t="str">
            <v>QRCode</v>
          </cell>
        </row>
        <row r="236">
          <cell r="B236" t="str">
            <v>ไทยประกันชีวิต</v>
          </cell>
          <cell r="C236" t="str">
            <v>ไทยประกันชีวิต</v>
          </cell>
          <cell r="D236" t="str">
            <v>QR CODE</v>
          </cell>
          <cell r="E236"/>
        </row>
        <row r="237">
          <cell r="B237" t="str">
            <v>ไทยอุดมไบโอเอ็นเนอร์ยี่</v>
          </cell>
          <cell r="C237" t="str">
            <v>บจ.ไทยอุดมไบโอเอ็นเนอร์ยี่</v>
          </cell>
          <cell r="D237" t="str">
            <v>SCB</v>
          </cell>
          <cell r="E237" t="str">
            <v>437-0-35524-4</v>
          </cell>
        </row>
        <row r="238">
          <cell r="B238" t="str">
            <v>ธเนตรแอร์</v>
          </cell>
          <cell r="C238" t="str">
            <v>นายธเนตร แก้วคำ</v>
          </cell>
          <cell r="D238" t="str">
            <v>KTB</v>
          </cell>
          <cell r="E238" t="str">
            <v>361-0-12422-9</v>
          </cell>
        </row>
        <row r="239">
          <cell r="B239" t="str">
            <v>น.ส.ชุฤณี  เอี่ยมองค์</v>
          </cell>
          <cell r="C239" t="str">
            <v>น.ส.ชุฤณี  เอี่ยมองค์</v>
          </cell>
          <cell r="D239" t="str">
            <v>Kbank</v>
          </cell>
          <cell r="E239" t="str">
            <v>232-2-26129-5</v>
          </cell>
        </row>
        <row r="240">
          <cell r="B240" t="str">
            <v xml:space="preserve">น.ส.ชุฤณี  เอี่ยมองค์ </v>
          </cell>
          <cell r="C240" t="str">
            <v xml:space="preserve">น.ส.ชุฤณี  เอี่ยมองค์ </v>
          </cell>
          <cell r="D240" t="str">
            <v>SCB</v>
          </cell>
          <cell r="E240" t="str">
            <v>406-7-22859-6</v>
          </cell>
        </row>
        <row r="241">
          <cell r="B241" t="str">
            <v>น.ส.ธนาภรณ์  เพราะดีงาม</v>
          </cell>
          <cell r="C241" t="str">
            <v>น.ส.ธนาภรณ์  เพราะดีงาม</v>
          </cell>
          <cell r="D241" t="str">
            <v>Kbank</v>
          </cell>
          <cell r="E241" t="str">
            <v>001-1-62081-7</v>
          </cell>
        </row>
        <row r="242">
          <cell r="B242" t="str">
            <v>น.ส.ธัญญาลักษมี บุญเกิด</v>
          </cell>
          <cell r="C242" t="str">
            <v>น.ส.ธัญญาลักษมี บุญเกิด</v>
          </cell>
          <cell r="D242" t="str">
            <v>Kbank</v>
          </cell>
          <cell r="E242" t="str">
            <v>023-1-28068-5</v>
          </cell>
        </row>
        <row r="243">
          <cell r="B243" t="str">
            <v>น.ส.นภฤชา ปิ่นรัตนกุล (ช่างเดช)</v>
          </cell>
          <cell r="C243" t="str">
            <v>น.ส.นภฤชา ปิ่นรัตนกุล</v>
          </cell>
          <cell r="D243" t="str">
            <v>Kbank</v>
          </cell>
          <cell r="E243" t="str">
            <v>090-3-09171-1</v>
          </cell>
        </row>
        <row r="244">
          <cell r="B244" t="str">
            <v>น.ส.น้อมจิต เตชะชื่น</v>
          </cell>
          <cell r="C244" t="str">
            <v>น.ส.น้อมจิต เตชะชื่น</v>
          </cell>
          <cell r="D244" t="str">
            <v>Kbank</v>
          </cell>
          <cell r="E244" t="str">
            <v>112-3-52015-3</v>
          </cell>
        </row>
        <row r="245">
          <cell r="B245" t="str">
            <v>น.ส.นัยน์ภัค คุณาวิริยะสิริ</v>
          </cell>
          <cell r="C245" t="str">
            <v>น.ส.นัยน์ภัค คุณาวิริยะสิริ</v>
          </cell>
          <cell r="D245" t="str">
            <v>Kbank</v>
          </cell>
          <cell r="E245" t="str">
            <v>751-2-06870-3</v>
          </cell>
        </row>
        <row r="246">
          <cell r="B246" t="str">
            <v>น.ส.เนืองนิจ  นิธิวัฒน์</v>
          </cell>
          <cell r="C246" t="str">
            <v>น.ส.เนืองนิจ  นิธิวัฒน์</v>
          </cell>
          <cell r="D246" t="str">
            <v>SCB</v>
          </cell>
          <cell r="E246" t="str">
            <v>581-2-11968-9</v>
          </cell>
        </row>
        <row r="247">
          <cell r="B247" t="str">
            <v>น.ส.ปรีชยา จุลเสนีย์ชร</v>
          </cell>
          <cell r="C247" t="str">
            <v>น.ส.ปรีชยา จุลเสนีย์ชร</v>
          </cell>
          <cell r="D247" t="str">
            <v>BBL</v>
          </cell>
          <cell r="E247" t="str">
            <v>291-0-77349-4</v>
          </cell>
        </row>
        <row r="248">
          <cell r="B248" t="str">
            <v>น.ส.ปรีชยา  จุลเสนีย์ชร</v>
          </cell>
          <cell r="C248" t="str">
            <v>น.ส.ปรีชยา  จุลเสนีย์ชร</v>
          </cell>
          <cell r="D248" t="str">
            <v>Kbank</v>
          </cell>
          <cell r="E248" t="str">
            <v>032-1-69396-2</v>
          </cell>
        </row>
        <row r="249">
          <cell r="B249" t="str">
            <v>น.ส.พรพิมล  อ๋องสุวรรณ</v>
          </cell>
          <cell r="C249" t="str">
            <v>น.ส.พรพิมล  อ๋องสุวรรณ</v>
          </cell>
          <cell r="D249" t="str">
            <v>Kbank</v>
          </cell>
          <cell r="E249" t="str">
            <v>138-8-42844-5</v>
          </cell>
        </row>
        <row r="250">
          <cell r="B250" t="str">
            <v>น.ส.พรพิมล อ๋องสุวรรณ</v>
          </cell>
          <cell r="C250" t="str">
            <v>น.ส.พรพิมล อ๋องสุวรรณ</v>
          </cell>
          <cell r="D250" t="str">
            <v>SCB</v>
          </cell>
          <cell r="E250" t="str">
            <v>581-2-45122-7</v>
          </cell>
        </row>
        <row r="251">
          <cell r="B251" t="str">
            <v>น.ส.ภิรัญญา ธัญญาภิรัต</v>
          </cell>
          <cell r="C251" t="str">
            <v>น.ส.ภิรัญญา ธัญญาภิรัต</v>
          </cell>
          <cell r="D251" t="str">
            <v>Kbank</v>
          </cell>
          <cell r="E251" t="str">
            <v xml:space="preserve">131-3-56602-8 </v>
          </cell>
        </row>
        <row r="252">
          <cell r="B252" t="str">
            <v>น.ส.รังศินี  เสาวเวียง</v>
          </cell>
          <cell r="C252" t="str">
            <v>น.ส.รังศินี  เสาวเวียง</v>
          </cell>
          <cell r="D252" t="str">
            <v>BBL</v>
          </cell>
          <cell r="E252" t="str">
            <v>783-0-03375-4</v>
          </cell>
        </row>
        <row r="253">
          <cell r="B253" t="str">
            <v>น.ส.ละมัย พงศาภิชาติ</v>
          </cell>
          <cell r="C253" t="str">
            <v>น.ส.ละมัย พงศาภิชาติ</v>
          </cell>
          <cell r="D253" t="str">
            <v>BBL</v>
          </cell>
          <cell r="E253" t="str">
            <v>783-0-00934-1</v>
          </cell>
        </row>
        <row r="254">
          <cell r="B254" t="str">
            <v>น.ส.วรรณวิภา เวียนสาว</v>
          </cell>
          <cell r="C254" t="str">
            <v>น.ส.วรรณวิภา เวียนสาว</v>
          </cell>
          <cell r="D254" t="str">
            <v>BBL</v>
          </cell>
          <cell r="E254" t="str">
            <v>527-0-12529-6</v>
          </cell>
        </row>
        <row r="255">
          <cell r="B255" t="str">
            <v>น.ส.วรรณี  สมศรี</v>
          </cell>
          <cell r="C255" t="str">
            <v>น.ส.วรรณี  สมศรี</v>
          </cell>
          <cell r="D255" t="str">
            <v>Kbank</v>
          </cell>
          <cell r="E255" t="str">
            <v>085-2-34557-8</v>
          </cell>
        </row>
        <row r="256">
          <cell r="B256" t="str">
            <v>น.ส.ศุลีพร  คำเครื่อง</v>
          </cell>
          <cell r="C256" t="str">
            <v>น.ส.ศุลีพร  คำเครื่อง</v>
          </cell>
          <cell r="D256" t="str">
            <v>Kbank</v>
          </cell>
          <cell r="E256" t="str">
            <v>086-3-95053-8</v>
          </cell>
        </row>
        <row r="257">
          <cell r="B257" t="str">
            <v>น.ส.อรพิมล​ โชค​พระ​สมบัติ​</v>
          </cell>
          <cell r="C257" t="str">
            <v>น.ส.อรพิมล​ โชค​พระ​สมบัติ​</v>
          </cell>
          <cell r="D257" t="str">
            <v>KTB</v>
          </cell>
          <cell r="E257" t="str">
            <v xml:space="preserve">979-0-15843-2​  </v>
          </cell>
        </row>
        <row r="258">
          <cell r="B258" t="str">
            <v>น.ส.อรอนงค์  อ่อนยิ่ง</v>
          </cell>
          <cell r="C258" t="str">
            <v>น.ส.อรอนงค์  อ่อนยิ่ง</v>
          </cell>
          <cell r="D258" t="str">
            <v>KTB</v>
          </cell>
          <cell r="E258" t="str">
            <v>806-0-45620-2</v>
          </cell>
        </row>
        <row r="259">
          <cell r="B259" t="str">
            <v>นพดลการไฟฟ้า</v>
          </cell>
          <cell r="C259" t="str">
            <v>นายนาวิน  มีนวล</v>
          </cell>
          <cell r="D259" t="str">
            <v>TTB</v>
          </cell>
          <cell r="E259" t="str">
            <v>429-2-24299-9</v>
          </cell>
        </row>
        <row r="260">
          <cell r="B260" t="str">
            <v xml:space="preserve">นพดลการไฟฟ้า </v>
          </cell>
          <cell r="C260" t="str">
            <v>นายนาวิน   มีนวล</v>
          </cell>
          <cell r="D260" t="str">
            <v>SCB</v>
          </cell>
          <cell r="E260" t="str">
            <v>439-0-27274-3</v>
          </cell>
        </row>
        <row r="261">
          <cell r="B261" t="str">
            <v>นวรัตน์การไฟฟ้า</v>
          </cell>
          <cell r="C261" t="str">
            <v>นวรัตน์  ปานจินดา</v>
          </cell>
          <cell r="D261" t="str">
            <v>SCB</v>
          </cell>
          <cell r="E261" t="str">
            <v>468-0-21212-8</v>
          </cell>
        </row>
        <row r="262">
          <cell r="B262" t="str">
            <v>น้องบอส</v>
          </cell>
          <cell r="C262" t="str">
            <v>นายภูดิศ  ทักษิณาวงศ์</v>
          </cell>
          <cell r="D262" t="str">
            <v>Kbank</v>
          </cell>
          <cell r="E262" t="str">
            <v>052-1-91137-9</v>
          </cell>
        </row>
        <row r="263">
          <cell r="B263" t="str">
            <v>น้องบิว(แพ)</v>
          </cell>
          <cell r="C263" t="str">
            <v>น.ส.กัญจนพร  สุขแจ่ม</v>
          </cell>
          <cell r="D263" t="str">
            <v>SCB</v>
          </cell>
          <cell r="E263" t="str">
            <v>407-5-77039-1</v>
          </cell>
        </row>
        <row r="264">
          <cell r="B264" t="str">
            <v>น้องมล</v>
          </cell>
          <cell r="C264" t="str">
            <v>น.ส.นฤมล ลิ่มศิลา</v>
          </cell>
          <cell r="D264" t="str">
            <v>Kbank</v>
          </cell>
          <cell r="E264" t="str">
            <v>758-2-30565-4</v>
          </cell>
        </row>
        <row r="265">
          <cell r="B265" t="str">
            <v>น้องสุ</v>
          </cell>
          <cell r="C265" t="str">
            <v>น.ส.สุภาพร ลิ่มศิลา</v>
          </cell>
          <cell r="D265" t="str">
            <v>Kbank</v>
          </cell>
          <cell r="E265" t="str">
            <v>232-2-42469-0</v>
          </cell>
        </row>
        <row r="266">
          <cell r="B266" t="str">
            <v>น้อยไฟฟ้า</v>
          </cell>
          <cell r="C266" t="str">
            <v>ภิญโญ พลสินธุ์ (น้อยไฟฟ้า)</v>
          </cell>
          <cell r="D266" t="str">
            <v>Kbank</v>
          </cell>
          <cell r="E266" t="str">
            <v>232-2-29117-8</v>
          </cell>
        </row>
        <row r="267">
          <cell r="B267" t="str">
            <v>นางสุดใจ  บุญเฉิด</v>
          </cell>
          <cell r="C267" t="str">
            <v>นางสุดใจ  บุญเฉิด</v>
          </cell>
          <cell r="D267" t="str">
            <v>Kbank</v>
          </cell>
          <cell r="E267" t="str">
            <v>241-2-20876-8</v>
          </cell>
        </row>
        <row r="268">
          <cell r="B268" t="str">
            <v>นางอรพรรณ บุษยากร</v>
          </cell>
          <cell r="C268" t="str">
            <v>นางอรพรรณ บุษยากร</v>
          </cell>
          <cell r="D268" t="str">
            <v xml:space="preserve"> SCB </v>
          </cell>
          <cell r="E268" t="str">
            <v>417-0-41475-1</v>
          </cell>
        </row>
        <row r="269">
          <cell r="B269" t="str">
            <v>น้าโบ๋ย</v>
          </cell>
          <cell r="C269" t="str">
            <v>นางชนิดาภา  ลิ่มศิลา</v>
          </cell>
          <cell r="D269" t="str">
            <v>BBL</v>
          </cell>
          <cell r="E269" t="str">
            <v>527-0-14780-3</v>
          </cell>
        </row>
        <row r="270">
          <cell r="B270" t="str">
            <v>นายกฤตนัย จงไกรจักร(ลูกน้องคุณนายเฟี๊ยต)</v>
          </cell>
          <cell r="C270" t="str">
            <v>นายกฤตนัย จงไกรจักร</v>
          </cell>
          <cell r="D270" t="str">
            <v>KTB</v>
          </cell>
          <cell r="E270" t="str">
            <v>388-0-37251-9</v>
          </cell>
        </row>
        <row r="271">
          <cell r="B271" t="str">
            <v>นายกฤตภาส  ตั้งตระกูล</v>
          </cell>
          <cell r="C271" t="str">
            <v>นายกฤตภาส  ตั้งตระกูล</v>
          </cell>
          <cell r="D271" t="str">
            <v>BBL</v>
          </cell>
          <cell r="E271" t="str">
            <v>527-0-25343-7</v>
          </cell>
        </row>
        <row r="272">
          <cell r="B272" t="str">
            <v>นายกิตติ  เพียรบางยาง</v>
          </cell>
          <cell r="C272" t="str">
            <v>นายกิตติ  เพียรบางยาง</v>
          </cell>
          <cell r="D272" t="str">
            <v>BAY</v>
          </cell>
          <cell r="E272" t="str">
            <v>161-1-42670-2</v>
          </cell>
        </row>
        <row r="273">
          <cell r="B273" t="str">
            <v>นายเกริกกฤต ศรีบุญเรือง</v>
          </cell>
          <cell r="C273" t="str">
            <v>นายเกริกกฤต ศรีบุญเรือง</v>
          </cell>
          <cell r="D273" t="str">
            <v>BAY</v>
          </cell>
          <cell r="E273" t="str">
            <v>161-1-33952-4</v>
          </cell>
        </row>
        <row r="274">
          <cell r="B274" t="str">
            <v>นายจักรกฤษณ์ ฉิ่งสูงเนิน</v>
          </cell>
          <cell r="C274" t="str">
            <v>นายจักรกฤษณ์ ฉิ่งสูงเนิน</v>
          </cell>
          <cell r="D274" t="str">
            <v>SCB</v>
          </cell>
          <cell r="E274" t="str">
            <v>399-4-26202-1</v>
          </cell>
        </row>
        <row r="275">
          <cell r="B275" t="str">
            <v>นายจักรกฤษณ์ อิทธิฤทธานนท์</v>
          </cell>
          <cell r="C275" t="str">
            <v>นายจักรกฤษณ์ อิทธิฤทธานนท์</v>
          </cell>
          <cell r="D275" t="str">
            <v>BBL</v>
          </cell>
          <cell r="E275" t="str">
            <v>291-0-89393-8</v>
          </cell>
        </row>
        <row r="276">
          <cell r="B276" t="str">
            <v>นายเฉลิมวิทย์  แก้วสิมมาพร</v>
          </cell>
          <cell r="C276" t="str">
            <v>นายเฉลิมวิทย์  แก้วสิมมาพร</v>
          </cell>
          <cell r="D276" t="str">
            <v>Kbank</v>
          </cell>
          <cell r="E276" t="str">
            <v>741-2-06194-7</v>
          </cell>
        </row>
        <row r="277">
          <cell r="B277" t="str">
            <v>นายเชาวลิต จินดาเรือง</v>
          </cell>
          <cell r="C277" t="str">
            <v>นายเชาวลิต จินดาเรือง</v>
          </cell>
          <cell r="D277" t="str">
            <v>SCB</v>
          </cell>
          <cell r="E277" t="str">
            <v>415-1-37388-9</v>
          </cell>
        </row>
        <row r="278">
          <cell r="B278" t="str">
            <v>นายเชาวลิต ช่วยนอกสระ</v>
          </cell>
          <cell r="C278" t="str">
            <v>นายเชาวลิต ช่วยนอกสระ</v>
          </cell>
          <cell r="D278" t="str">
            <v>Kbank</v>
          </cell>
          <cell r="E278" t="str">
            <v>016-8-57769-9</v>
          </cell>
        </row>
        <row r="279">
          <cell r="B279" t="str">
            <v>นายณรงค์  ภู่แก้วเผือก</v>
          </cell>
          <cell r="C279" t="str">
            <v>นายณรงค์  ภู่แก้วเผือก</v>
          </cell>
          <cell r="D279" t="str">
            <v>Kbank</v>
          </cell>
          <cell r="E279" t="str">
            <v>038-2-77293-8</v>
          </cell>
        </row>
        <row r="280">
          <cell r="B280" t="str">
            <v>นายณัฏฐ์  จรัสกุล</v>
          </cell>
          <cell r="C280" t="str">
            <v>นายณัฏฐ์  จรัสกุล</v>
          </cell>
          <cell r="D280" t="str">
            <v>TTB</v>
          </cell>
          <cell r="E280" t="str">
            <v>302-2-55760-1</v>
          </cell>
        </row>
        <row r="281">
          <cell r="B281" t="str">
            <v>นายณัฐนันท์ ศิริรัตนธัญญะกุล</v>
          </cell>
          <cell r="C281" t="str">
            <v>นายณัฐนันท์ ศิริรัตนธัญญะกุล</v>
          </cell>
          <cell r="D281" t="str">
            <v>KTB</v>
          </cell>
          <cell r="E281" t="str">
            <v>110-1-18747-6</v>
          </cell>
        </row>
        <row r="282">
          <cell r="B282" t="str">
            <v>นายณัฐพงศ์ พิพัฒน์สมบัติ</v>
          </cell>
          <cell r="C282" t="str">
            <v>นายณัฐพงศ์ พิพัฒน์สมบัติ</v>
          </cell>
          <cell r="D282" t="str">
            <v>SCB</v>
          </cell>
          <cell r="E282" t="str">
            <v>408-4-30504-4</v>
          </cell>
        </row>
        <row r="283">
          <cell r="B283" t="str">
            <v>นายณัฐพล  อ๋องสุวรรณ</v>
          </cell>
          <cell r="C283" t="str">
            <v>นายณัฐพล  อ๋องสุวรรณ</v>
          </cell>
          <cell r="D283" t="str">
            <v>KTB</v>
          </cell>
          <cell r="E283" t="str">
            <v>361-0-12106-8</v>
          </cell>
        </row>
        <row r="284">
          <cell r="B284" t="str">
            <v>นายทันชิต  แสงทอง</v>
          </cell>
          <cell r="C284" t="str">
            <v>นายทันชิต  แสงทอง</v>
          </cell>
          <cell r="D284" t="str">
            <v>Kbank</v>
          </cell>
          <cell r="E284" t="str">
            <v>271-2-10897-8</v>
          </cell>
        </row>
        <row r="285">
          <cell r="B285" t="str">
            <v>นายธงชัย และ นายภูมิธัช</v>
          </cell>
          <cell r="C285" t="str">
            <v>นายธงชัย และ นายภูมิธัช</v>
          </cell>
          <cell r="D285" t="str">
            <v>Kbank</v>
          </cell>
          <cell r="E285" t="str">
            <v>197-1-70979-7</v>
          </cell>
        </row>
        <row r="286">
          <cell r="B286" t="str">
            <v>นายธนวัฒน์  ต้นน้ำนิ่ง</v>
          </cell>
          <cell r="C286" t="str">
            <v>นายธนวัฒน์  ต้นน้ำนิ่ง</v>
          </cell>
          <cell r="D286" t="str">
            <v>TTB</v>
          </cell>
          <cell r="E286" t="str">
            <v>587-2-33079-9</v>
          </cell>
        </row>
        <row r="287">
          <cell r="B287" t="str">
            <v>นายธนากร  ฉายประทีป</v>
          </cell>
          <cell r="C287" t="str">
            <v>นายธนากร  ฉายประทีป</v>
          </cell>
          <cell r="D287" t="str">
            <v>SCB</v>
          </cell>
          <cell r="E287" t="str">
            <v>581-2-46170-1</v>
          </cell>
        </row>
        <row r="288">
          <cell r="B288" t="str">
            <v>นายธนากร ฉายประทีป</v>
          </cell>
          <cell r="C288" t="str">
            <v>นายธนากร ฉายประทีป</v>
          </cell>
          <cell r="D288" t="str">
            <v>SCB</v>
          </cell>
          <cell r="E288" t="str">
            <v>581-2-35553-6</v>
          </cell>
        </row>
        <row r="289">
          <cell r="B289" t="str">
            <v xml:space="preserve">นายธนากร  ฉายประทีป </v>
          </cell>
          <cell r="C289" t="str">
            <v xml:space="preserve">นายธนากร  ฉายประทีป </v>
          </cell>
          <cell r="D289" t="str">
            <v>Kbank</v>
          </cell>
          <cell r="E289" t="str">
            <v>190-2-47600-4</v>
          </cell>
        </row>
        <row r="290">
          <cell r="B290" t="str">
            <v>นายธนากร  ทัศน์ธนากร</v>
          </cell>
          <cell r="C290" t="str">
            <v>นายธนากร  ทัศน์ธนากร</v>
          </cell>
          <cell r="D290" t="str">
            <v>KTB</v>
          </cell>
          <cell r="E290" t="str">
            <v>361-1-03152-6</v>
          </cell>
        </row>
        <row r="291">
          <cell r="B291" t="str">
            <v>นายธนู ทักษิณาวงศ์ และนายอดิศักดิ์ รุจิวิวัฒนกุล</v>
          </cell>
          <cell r="C291" t="str">
            <v>นายธนู ทักษิณาวงศ์ และนายอดิศักดิ์ รุจิวิวัฒนกุล</v>
          </cell>
          <cell r="D291" t="str">
            <v>BBL</v>
          </cell>
          <cell r="E291" t="str">
            <v>527-0-24240-6</v>
          </cell>
        </row>
        <row r="292">
          <cell r="B292" t="str">
            <v xml:space="preserve">นายนพพร เทพธรณี </v>
          </cell>
          <cell r="C292" t="str">
            <v xml:space="preserve">นายนพพร เทพธรณี </v>
          </cell>
          <cell r="D292" t="str">
            <v>TTB</v>
          </cell>
          <cell r="E292" t="str">
            <v>019-9-00726-1</v>
          </cell>
        </row>
        <row r="293">
          <cell r="B293" t="str">
            <v>นายนเรศ  ผุยอุทา</v>
          </cell>
          <cell r="C293" t="str">
            <v>นายนเรศ  ผุยอุทา</v>
          </cell>
          <cell r="D293" t="str">
            <v>GSB</v>
          </cell>
          <cell r="E293" t="str">
            <v>020-3-0777958-5</v>
          </cell>
        </row>
        <row r="294">
          <cell r="B294" t="str">
            <v>นายนิติพัฒน์  พานิชสุโข</v>
          </cell>
          <cell r="C294" t="str">
            <v>นายนิติพัฒน์  พานิชสุโข</v>
          </cell>
          <cell r="D294" t="str">
            <v>Kbank</v>
          </cell>
          <cell r="E294" t="str">
            <v>460-2-06925-2</v>
          </cell>
        </row>
        <row r="295">
          <cell r="B295" t="str">
            <v>นายนิธิศ  อ่อนเกตุพล</v>
          </cell>
          <cell r="C295" t="str">
            <v>นายนิธิศ  อ่อนเกตุพล</v>
          </cell>
          <cell r="D295" t="str">
            <v>SCB</v>
          </cell>
          <cell r="E295" t="str">
            <v>401-158426-1</v>
          </cell>
        </row>
        <row r="296">
          <cell r="B296" t="str">
            <v>นายบุญเรือง  อุทัยรัตน์</v>
          </cell>
          <cell r="C296" t="str">
            <v>นายบุญเรือง  อุทัยรัตน์</v>
          </cell>
          <cell r="D296" t="str">
            <v>Kbank</v>
          </cell>
          <cell r="E296" t="str">
            <v>107-3-74589-2</v>
          </cell>
        </row>
        <row r="297">
          <cell r="B297" t="str">
            <v>นายประพร  นันทะวิริยะนนท์</v>
          </cell>
          <cell r="C297" t="str">
            <v>นายประพร  นันทะวิริยะนนท์</v>
          </cell>
          <cell r="D297" t="str">
            <v>SCB</v>
          </cell>
          <cell r="E297" t="str">
            <v>412-0-66748-5</v>
          </cell>
        </row>
        <row r="298">
          <cell r="B298" t="str">
            <v>นายพงษ์พิพัฒน์ ต้นน้ำนิ่ง</v>
          </cell>
          <cell r="C298" t="str">
            <v>นายพงษ์พิพัฒน์ ต้นน้ำนิ่ง</v>
          </cell>
          <cell r="D298" t="str">
            <v>SCB</v>
          </cell>
          <cell r="E298" t="str">
            <v>405-1-42770-4</v>
          </cell>
        </row>
        <row r="299">
          <cell r="B299" t="str">
            <v>นายพนมศักดิ์  นาครักสุทธิ์</v>
          </cell>
          <cell r="C299" t="str">
            <v>นายพนมศักดิ์  นาครักสุทธิ์</v>
          </cell>
          <cell r="D299" t="str">
            <v>TTB</v>
          </cell>
          <cell r="E299" t="str">
            <v>837-2-02100-9</v>
          </cell>
        </row>
        <row r="300">
          <cell r="B300" t="str">
            <v>นายพฤฒ  เพราพันธ์</v>
          </cell>
          <cell r="C300" t="str">
            <v>นายพฤฒ  เพราพันธ์</v>
          </cell>
          <cell r="D300" t="str">
            <v>SCB</v>
          </cell>
          <cell r="E300" t="str">
            <v>438-1-07623-1</v>
          </cell>
        </row>
        <row r="301">
          <cell r="B301" t="str">
            <v>นายพิทักษ์  ศิลปะมาต</v>
          </cell>
          <cell r="C301" t="str">
            <v>นายพิทักษ์  ศิลปะมาต</v>
          </cell>
          <cell r="D301" t="str">
            <v>TTB</v>
          </cell>
          <cell r="E301" t="str">
            <v>082-2-85350-3</v>
          </cell>
        </row>
        <row r="302">
          <cell r="B302" t="str">
            <v>นายมนตรี เต็มไพโรจน์</v>
          </cell>
          <cell r="C302" t="str">
            <v>นายมนตรี เต็มไพโรจน์</v>
          </cell>
          <cell r="D302" t="str">
            <v>GSB</v>
          </cell>
          <cell r="E302" t="str">
            <v>020-4-1049015-3</v>
          </cell>
        </row>
        <row r="303">
          <cell r="B303" t="str">
            <v>นายเมธา  วงษ์นิติรัตน์</v>
          </cell>
          <cell r="C303" t="str">
            <v>นายเมธา  วงษ์นิติรัตน์</v>
          </cell>
          <cell r="D303" t="str">
            <v>KTB</v>
          </cell>
          <cell r="E303" t="str">
            <v>982-3-59172-5</v>
          </cell>
        </row>
        <row r="304">
          <cell r="B304" t="str">
            <v>นายรุ่งทิวา สำราญรมย์</v>
          </cell>
          <cell r="C304" t="str">
            <v>นายรุ่งทิวา สำราญรมย์</v>
          </cell>
          <cell r="D304" t="str">
            <v>KTB</v>
          </cell>
          <cell r="E304" t="str">
            <v>806-0-30684-7</v>
          </cell>
        </row>
        <row r="305">
          <cell r="B305" t="str">
            <v>นายเรวัตร  หินกอง</v>
          </cell>
          <cell r="C305" t="str">
            <v>นายเรวัตร  หินกอง</v>
          </cell>
          <cell r="D305" t="str">
            <v>Kbank</v>
          </cell>
          <cell r="E305" t="str">
            <v>024-2-95030-5</v>
          </cell>
        </row>
        <row r="306">
          <cell r="B306" t="str">
            <v>นายวทัญญู  กลับกลาย</v>
          </cell>
          <cell r="C306" t="str">
            <v>นายวทัญญู  กลับกลาย</v>
          </cell>
          <cell r="D306" t="str">
            <v>Kbank</v>
          </cell>
          <cell r="E306" t="str">
            <v>460-2-05343-7</v>
          </cell>
        </row>
        <row r="307">
          <cell r="B307" t="str">
            <v>นายวุฒิชัย  หอมทอง</v>
          </cell>
          <cell r="C307" t="str">
            <v>นายวุฒิชัย  หอมทอง</v>
          </cell>
          <cell r="D307" t="str">
            <v>BBL</v>
          </cell>
          <cell r="E307" t="str">
            <v>133-4-75786-9</v>
          </cell>
        </row>
        <row r="308">
          <cell r="B308" t="str">
            <v>นายวุฒิชัย หอมทอง</v>
          </cell>
          <cell r="C308" t="str">
            <v>นายวุฒิชัย หอมทอง</v>
          </cell>
          <cell r="D308" t="str">
            <v>KTB</v>
          </cell>
          <cell r="E308" t="str">
            <v>980-9-80142-4</v>
          </cell>
        </row>
        <row r="309">
          <cell r="B309" t="str">
            <v>นายศรชัย คชสิงห์</v>
          </cell>
          <cell r="C309" t="str">
            <v>นายศรชัย คชสิงห์</v>
          </cell>
          <cell r="D309" t="str">
            <v>KTB</v>
          </cell>
          <cell r="E309" t="str">
            <v>806-0-35372-1</v>
          </cell>
        </row>
        <row r="310">
          <cell r="B310" t="str">
            <v>นายศุภชัย  รอดรักษา</v>
          </cell>
          <cell r="C310" t="str">
            <v>นายศุภชัย  รอดรักษา</v>
          </cell>
          <cell r="D310" t="str">
            <v>P-Pay</v>
          </cell>
          <cell r="E310" t="str">
            <v>096-6-34950-9</v>
          </cell>
        </row>
        <row r="311">
          <cell r="B311" t="str">
            <v>นายสถาพร  เครือวัลย์</v>
          </cell>
          <cell r="C311" t="str">
            <v>นายสถาพร  เครือวัลย์</v>
          </cell>
          <cell r="D311" t="str">
            <v>Kbank</v>
          </cell>
          <cell r="E311" t="str">
            <v>274-2-26864-3</v>
          </cell>
        </row>
        <row r="312">
          <cell r="B312" t="str">
            <v>นายสถาพร เครือวัลย์</v>
          </cell>
          <cell r="C312" t="str">
            <v>นายสถาพร เครือวัลย์</v>
          </cell>
          <cell r="D312" t="str">
            <v>BBL</v>
          </cell>
          <cell r="E312" t="str">
            <v>282-0-32639-1</v>
          </cell>
        </row>
        <row r="313">
          <cell r="B313" t="str">
            <v>นายสมเกียรติ อมรวัฒน์</v>
          </cell>
          <cell r="C313" t="str">
            <v>นายสมเกียรติ อมรวัฒน์</v>
          </cell>
          <cell r="D313" t="str">
            <v>BBL</v>
          </cell>
          <cell r="E313" t="str">
            <v>198-0-80670-5</v>
          </cell>
        </row>
        <row r="314">
          <cell r="B314" t="str">
            <v>นายสมบูรณ์ พงษ์ขยัน</v>
          </cell>
          <cell r="C314" t="str">
            <v>นายสมบูรณ์ พงษ์ขยัน</v>
          </cell>
          <cell r="D314" t="str">
            <v>Kbank</v>
          </cell>
          <cell r="E314" t="str">
            <v>165-1-19403-9</v>
          </cell>
        </row>
        <row r="315">
          <cell r="B315" t="str">
            <v>นายสมยศ  จงเจริญ</v>
          </cell>
          <cell r="C315" t="str">
            <v>นายสมยศ  จงเจริญ</v>
          </cell>
          <cell r="D315" t="str">
            <v>Kbank</v>
          </cell>
          <cell r="E315" t="str">
            <v>232-2-24488-9</v>
          </cell>
        </row>
        <row r="316">
          <cell r="B316" t="str">
            <v>นายสาโรจน์  เศวตดุล</v>
          </cell>
          <cell r="C316" t="str">
            <v>นายสาโรจน์  เศวตดุล</v>
          </cell>
          <cell r="D316" t="str">
            <v>BBL</v>
          </cell>
          <cell r="E316" t="str">
            <v>291-0-82954-4</v>
          </cell>
        </row>
        <row r="317">
          <cell r="B317" t="str">
            <v>นายสำราญ  อำดี</v>
          </cell>
          <cell r="C317" t="str">
            <v>นายสำราญ  อำดี</v>
          </cell>
          <cell r="D317" t="str">
            <v>BAY</v>
          </cell>
          <cell r="E317" t="str">
            <v>161-1-411993-8</v>
          </cell>
        </row>
        <row r="318">
          <cell r="B318" t="str">
            <v>นายสุชัย  หลีระพันธุ์</v>
          </cell>
          <cell r="C318" t="str">
            <v>นายสุชัย  หลีระพันธุ์</v>
          </cell>
          <cell r="D318" t="str">
            <v>Kbank</v>
          </cell>
          <cell r="E318" t="str">
            <v>343-2-67153-3</v>
          </cell>
        </row>
        <row r="319">
          <cell r="B319" t="str">
            <v>นายสุชีพ พัฒน์ทอง</v>
          </cell>
          <cell r="C319" t="str">
            <v>นายสุชีพ พัฒน์ทอง</v>
          </cell>
          <cell r="D319" t="str">
            <v>KTB</v>
          </cell>
          <cell r="E319" t="str">
            <v>806-1-53893-8</v>
          </cell>
        </row>
        <row r="320">
          <cell r="B320" t="str">
            <v>นายสุธรรม  เล่นทัศน์</v>
          </cell>
          <cell r="C320" t="str">
            <v>นายสุธรรม  เล่นทัศน์</v>
          </cell>
          <cell r="D320" t="str">
            <v>Kbank</v>
          </cell>
          <cell r="E320" t="str">
            <v>113-2-69037-1</v>
          </cell>
        </row>
        <row r="321">
          <cell r="B321" t="str">
            <v>นายสุรชัย ทำทอง</v>
          </cell>
          <cell r="C321" t="str">
            <v>นายสุรชัย ทำทอง</v>
          </cell>
          <cell r="D321" t="str">
            <v>KTB</v>
          </cell>
          <cell r="E321" t="str">
            <v>806-0-04736-1</v>
          </cell>
        </row>
        <row r="322">
          <cell r="B322" t="str">
            <v>นายโสภณ  นาเพียงล้อม</v>
          </cell>
          <cell r="C322" t="str">
            <v>นายโสภณ  นาเพียงล้อม</v>
          </cell>
          <cell r="D322" t="str">
            <v>กรุงศรี</v>
          </cell>
          <cell r="E322" t="str">
            <v>056-1-68591-8</v>
          </cell>
        </row>
        <row r="323">
          <cell r="B323" t="str">
            <v>นายอดิศร  โมฬี</v>
          </cell>
          <cell r="C323" t="str">
            <v>นายอดิศร  โมฬี</v>
          </cell>
          <cell r="D323" t="str">
            <v>P-Pay</v>
          </cell>
          <cell r="E323" t="str">
            <v>084-441-5396</v>
          </cell>
        </row>
        <row r="324">
          <cell r="B324" t="str">
            <v>นายอภิวิชญ์  ธาตุชล</v>
          </cell>
          <cell r="C324" t="str">
            <v>นายอภิวิชญ์  ธาตุชล</v>
          </cell>
          <cell r="D324" t="str">
            <v>Kbank</v>
          </cell>
          <cell r="E324" t="str">
            <v>460-2-02390-2</v>
          </cell>
        </row>
        <row r="325">
          <cell r="B325" t="str">
            <v>น้าละมัย</v>
          </cell>
          <cell r="C325" t="str">
            <v>น.ส.ละมัย  พงศาภิชาติ</v>
          </cell>
          <cell r="D325" t="str">
            <v>BBL</v>
          </cell>
          <cell r="E325" t="str">
            <v>783-0-00934-1</v>
          </cell>
        </row>
        <row r="326">
          <cell r="B326" t="str">
            <v>นำผลโลหะภัณฑ์</v>
          </cell>
          <cell r="C326" t="str">
            <v>นายดำรง และนางสุวิมล ลิ้มสถารัตน์</v>
          </cell>
          <cell r="D326" t="str">
            <v>Kbank</v>
          </cell>
          <cell r="E326" t="str">
            <v>232-1-04045-7</v>
          </cell>
        </row>
        <row r="327">
          <cell r="B327" t="str">
            <v xml:space="preserve">นำผลโลหะภัณฑ์ </v>
          </cell>
          <cell r="C327" t="str">
            <v>นำผลโลหะภัณฑ์ โดย นายพิชัย ลิ้มสถารัตน์</v>
          </cell>
          <cell r="D327" t="str">
            <v>Kbank</v>
          </cell>
          <cell r="E327" t="str">
            <v>198-8-37685-6</v>
          </cell>
        </row>
        <row r="328">
          <cell r="B328" t="str">
            <v>นิติบุคคลหมู่บ้านอิสระพระราม9</v>
          </cell>
          <cell r="C328" t="str">
            <v>นิติบุคคลหมู่บ้านอิสระพระราม9</v>
          </cell>
          <cell r="D328" t="str">
            <v>TTB</v>
          </cell>
          <cell r="E328" t="str">
            <v>196-2-47922-4</v>
          </cell>
        </row>
        <row r="329">
          <cell r="B329" t="str">
            <v>นิติบุคคลอาคารชุด ดิ อินฟินิตี้</v>
          </cell>
          <cell r="C329" t="str">
            <v>นิติบุคคลอาคารชุด ดิ อินฟินิตี้</v>
          </cell>
          <cell r="D329" t="str">
            <v>Kbank</v>
          </cell>
          <cell r="E329" t="str">
            <v>608-2-02402-4</v>
          </cell>
        </row>
        <row r="330">
          <cell r="B330" t="str">
            <v>นิ่ม BBL</v>
          </cell>
          <cell r="C330" t="str">
            <v>นางนิ่มอนงค์ คงพล</v>
          </cell>
          <cell r="D330" t="str">
            <v>BBL</v>
          </cell>
          <cell r="E330" t="str">
            <v>232-4-86088-7</v>
          </cell>
        </row>
        <row r="331">
          <cell r="B331" t="str">
            <v>นิ่ม GSB</v>
          </cell>
          <cell r="C331" t="str">
            <v xml:space="preserve">นางนิ่มอนงค์ คงพล </v>
          </cell>
          <cell r="D331" t="str">
            <v>GSB</v>
          </cell>
          <cell r="E331" t="str">
            <v>050-5-236603-01</v>
          </cell>
        </row>
        <row r="332">
          <cell r="B332" t="str">
            <v>บจ.กมลจักรวาล2003</v>
          </cell>
          <cell r="C332" t="str">
            <v>คุณอรพินท์  กีรติกมล</v>
          </cell>
          <cell r="D332" t="str">
            <v>BBL</v>
          </cell>
          <cell r="E332" t="str">
            <v>101-3-20477-9</v>
          </cell>
        </row>
        <row r="333">
          <cell r="B333" t="str">
            <v>บจ.กระทุ่มแบน มอเตอร์</v>
          </cell>
          <cell r="C333" t="str">
            <v>บจ.กระทุ่มแบน มอเตอร์</v>
          </cell>
          <cell r="D333" t="str">
            <v>BBL</v>
          </cell>
          <cell r="E333" t="str">
            <v>204-4-23450-4</v>
          </cell>
        </row>
        <row r="334">
          <cell r="B334" t="str">
            <v>บจ.กาญจน์ญาภา บริการ</v>
          </cell>
          <cell r="C334" t="str">
            <v>บจ.กาญจน์ญาภา บริการ</v>
          </cell>
          <cell r="D334" t="str">
            <v>SCB</v>
          </cell>
          <cell r="E334" t="str">
            <v>581-2-44032-3</v>
          </cell>
        </row>
        <row r="335">
          <cell r="B335" t="str">
            <v>บจ.การไฟฟ้าเต็กซุ่นเส็ง</v>
          </cell>
          <cell r="C335" t="str">
            <v>คุณประสิทธิ์  อัสสพันธุ์</v>
          </cell>
          <cell r="D335" t="str">
            <v>BBL</v>
          </cell>
          <cell r="E335" t="str">
            <v>001-4-18527-6</v>
          </cell>
        </row>
        <row r="336">
          <cell r="B336" t="str">
            <v>บจ.กิจไพศาล คอนกรีต</v>
          </cell>
          <cell r="C336" t="str">
            <v>บจ.กิจไพศาล คอนกรีต</v>
          </cell>
          <cell r="D336" t="str">
            <v>TTB</v>
          </cell>
          <cell r="E336" t="str">
            <v>429-1-08450-9</v>
          </cell>
        </row>
        <row r="337">
          <cell r="B337" t="str">
            <v>บจ.กิจไพศาลคอนกรีต</v>
          </cell>
          <cell r="C337" t="str">
            <v>บจ.กิจไพศาลคอนกรีต</v>
          </cell>
          <cell r="D337" t="str">
            <v>TTB</v>
          </cell>
          <cell r="E337" t="str">
            <v>429-2-46045-0</v>
          </cell>
        </row>
        <row r="338">
          <cell r="B338" t="str">
            <v>บจ.กิจไพศาลคอนสตรัคชั่นแมททีเรียล</v>
          </cell>
          <cell r="C338" t="str">
            <v>บจ.กิจไพศาลคอนสตรัคชั่นแมททีเรียล</v>
          </cell>
          <cell r="D338" t="str">
            <v>BBL</v>
          </cell>
          <cell r="E338" t="str">
            <v>527-0-23303-3</v>
          </cell>
        </row>
        <row r="339">
          <cell r="B339" t="str">
            <v>บจ.กิจไพศาลวัสดุ</v>
          </cell>
          <cell r="C339" t="str">
            <v>บจ.กิจไพศาลวัสดุ</v>
          </cell>
          <cell r="D339" t="str">
            <v>Kbank</v>
          </cell>
          <cell r="E339" t="str">
            <v>163-1-29532-7</v>
          </cell>
        </row>
        <row r="340">
          <cell r="B340" t="str">
            <v>บจ.กิจไพศาลสตีล</v>
          </cell>
          <cell r="C340" t="str">
            <v>บจ.กิจไพศาลสตีล</v>
          </cell>
          <cell r="D340" t="str">
            <v>Kbank</v>
          </cell>
          <cell r="E340" t="str">
            <v>127-8-40062-6</v>
          </cell>
        </row>
        <row r="341">
          <cell r="B341" t="str">
            <v>บจ.เกรียงกมล2009</v>
          </cell>
          <cell r="C341" t="str">
            <v>บจ.เกรียงกมล2009</v>
          </cell>
          <cell r="D341" t="str">
            <v>Kbank</v>
          </cell>
          <cell r="E341" t="str">
            <v>043-1-09652-8</v>
          </cell>
        </row>
        <row r="342">
          <cell r="B342" t="str">
            <v>บจ.แกรนเมโทรฮาร์ดแวร์</v>
          </cell>
          <cell r="C342" t="str">
            <v>คุณมนตรี  กาญจนฉัตร</v>
          </cell>
          <cell r="D342" t="str">
            <v>Kbank</v>
          </cell>
          <cell r="E342" t="str">
            <v>232-2-14204-0</v>
          </cell>
        </row>
        <row r="343">
          <cell r="B343" t="str">
            <v>บจ.คอนกรีตซีแพค ระนอง</v>
          </cell>
          <cell r="C343" t="str">
            <v>บจ.คอนกรีตซีแพค ระนอง</v>
          </cell>
          <cell r="D343" t="str">
            <v>TTB</v>
          </cell>
          <cell r="E343" t="str">
            <v>429-2-26056-1</v>
          </cell>
        </row>
        <row r="344">
          <cell r="B344" t="str">
            <v>บจ.เค.ที.แม็กซ์</v>
          </cell>
          <cell r="C344" t="str">
            <v>บจ.เค.ที.แม็กซ์</v>
          </cell>
          <cell r="D344" t="str">
            <v>Kbank</v>
          </cell>
          <cell r="E344" t="str">
            <v>043-1-09722-2</v>
          </cell>
        </row>
        <row r="345">
          <cell r="B345" t="str">
            <v>บจ.เค.เอส.พี อุปกรณ์</v>
          </cell>
          <cell r="C345" t="str">
            <v>บจ.เค.เอส.พี อุปกรณ์</v>
          </cell>
          <cell r="D345" t="str">
            <v>BBL</v>
          </cell>
          <cell r="E345" t="str">
            <v>101-3-27429-3</v>
          </cell>
        </row>
        <row r="346">
          <cell r="B346" t="str">
            <v>บจ.เค่งน่ำฮวด</v>
          </cell>
          <cell r="C346" t="str">
            <v>บจ.เค่งน่ำฮวด</v>
          </cell>
          <cell r="D346" t="str">
            <v>Kbank</v>
          </cell>
          <cell r="E346" t="str">
            <v>719-1-02078-7</v>
          </cell>
        </row>
        <row r="347">
          <cell r="B347" t="str">
            <v>บจ.เค้งหงส์ทอง</v>
          </cell>
          <cell r="C347" t="str">
            <v>บจ.เค้งหงส์ทอง</v>
          </cell>
          <cell r="D347" t="str">
            <v>Kbank</v>
          </cell>
          <cell r="E347" t="str">
            <v>019-1-04333-2</v>
          </cell>
        </row>
        <row r="348">
          <cell r="B348" t="str">
            <v>บจ.เคดี แมชชีนเนอรี่</v>
          </cell>
          <cell r="C348" t="str">
            <v>บจ.เคดี แมชชีนเนอรี่</v>
          </cell>
          <cell r="D348" t="str">
            <v>Kbank</v>
          </cell>
          <cell r="E348" t="str">
            <v>756-1-01320-3</v>
          </cell>
        </row>
        <row r="349">
          <cell r="B349" t="str">
            <v>บจ.เคพีเอส ระนอง เครน</v>
          </cell>
          <cell r="C349" t="str">
            <v>นายพัชระ รุจิวิวัฒนกุล</v>
          </cell>
          <cell r="D349" t="str">
            <v>TTB</v>
          </cell>
          <cell r="E349" t="str">
            <v>429-2-36911-5</v>
          </cell>
        </row>
        <row r="350">
          <cell r="B350" t="str">
            <v>บจ.เคพีเอสระนองเครน</v>
          </cell>
          <cell r="C350" t="str">
            <v>บจ.เคพีเอสระนองเครน</v>
          </cell>
          <cell r="D350" t="str">
            <v>Kbank</v>
          </cell>
          <cell r="E350" t="str">
            <v>165-1-79256-4</v>
          </cell>
        </row>
        <row r="351">
          <cell r="B351" t="str">
            <v>บจ.เคเอสวอเตอร์คูลลิ่ง</v>
          </cell>
          <cell r="C351" t="str">
            <v>บจ.เคเอสวอเตอร์คูลลิ่ง</v>
          </cell>
          <cell r="D351" t="str">
            <v>KTB</v>
          </cell>
          <cell r="E351" t="str">
            <v>110-0-23536-1</v>
          </cell>
        </row>
        <row r="352">
          <cell r="B352" t="str">
            <v>บจ.จตุรเจริญชัย</v>
          </cell>
          <cell r="C352" t="str">
            <v>ดร.วินัย รุ่งฤทธิเดช</v>
          </cell>
          <cell r="D352" t="str">
            <v>BBL</v>
          </cell>
          <cell r="E352" t="str">
            <v>567-3-00572-3</v>
          </cell>
        </row>
        <row r="353">
          <cell r="B353" t="str">
            <v xml:space="preserve">บจ.จตุรเจริญชัย </v>
          </cell>
          <cell r="C353" t="str">
            <v>บจ.จตุรเจริญชัย</v>
          </cell>
          <cell r="D353" t="str">
            <v>TTB</v>
          </cell>
          <cell r="E353" t="str">
            <v>311-1-01963-8</v>
          </cell>
        </row>
        <row r="354">
          <cell r="B354" t="str">
            <v>บจ.จรมิตร</v>
          </cell>
          <cell r="C354" t="str">
            <v>น.ส.กิติมา สุวรรณไพบูลย์</v>
          </cell>
          <cell r="D354" t="str">
            <v>Kbank</v>
          </cell>
          <cell r="E354" t="str">
            <v>025-2-30904-7</v>
          </cell>
        </row>
        <row r="355">
          <cell r="B355" t="str">
            <v>บจ.จีเอสเอ็ม มารีนซัพพลาย</v>
          </cell>
          <cell r="C355" t="str">
            <v>บจ.จีเอสเอ็มมารีนซัพพลาย</v>
          </cell>
          <cell r="D355" t="str">
            <v>Kbank</v>
          </cell>
          <cell r="E355" t="str">
            <v>080-2-93204-9</v>
          </cell>
        </row>
        <row r="356">
          <cell r="B356" t="str">
            <v>บจ.จีเอสเอ็มมารีนซัพพลาย</v>
          </cell>
          <cell r="C356" t="str">
            <v>คุณเจตน์จิณณ์  เชาวน์สุขุม</v>
          </cell>
          <cell r="D356" t="str">
            <v>Kbank</v>
          </cell>
          <cell r="E356" t="str">
            <v>232-2-07429-0</v>
          </cell>
        </row>
        <row r="357">
          <cell r="B357" t="str">
            <v>บจ.เจซีเอส แมคคานิค</v>
          </cell>
          <cell r="C357" t="str">
            <v>น.ส.พรประพันธิ์ ศรีโยธา</v>
          </cell>
          <cell r="D357" t="str">
            <v>SCB</v>
          </cell>
          <cell r="E357" t="str">
            <v>438-0-58215-8</v>
          </cell>
        </row>
        <row r="358">
          <cell r="B358" t="str">
            <v>บจ.เจริญมารีน</v>
          </cell>
          <cell r="C358" t="str">
            <v>บจ.เจริญมารีน</v>
          </cell>
          <cell r="D358" t="str">
            <v>BBL</v>
          </cell>
          <cell r="E358" t="str">
            <v>130-3-13053-6</v>
          </cell>
        </row>
        <row r="359">
          <cell r="B359" t="str">
            <v>บจ.เจริญยนต์ไทยพัฒนา</v>
          </cell>
          <cell r="C359" t="str">
            <v>บจ.เจริญยนต์ไทยพัฒนา</v>
          </cell>
          <cell r="D359" t="str">
            <v>BAY</v>
          </cell>
          <cell r="E359" t="str">
            <v>777-0-07775-0</v>
          </cell>
        </row>
        <row r="360">
          <cell r="B360" t="str">
            <v xml:space="preserve">บจ.เจริญยนต์ไทยพัฒนา </v>
          </cell>
          <cell r="C360" t="str">
            <v xml:space="preserve">บจ.เจริญยนต์ไทยพัฒนา </v>
          </cell>
          <cell r="D360" t="str">
            <v>Kbank</v>
          </cell>
          <cell r="E360" t="str">
            <v>005-1-09131-0</v>
          </cell>
        </row>
        <row r="361">
          <cell r="B361" t="str">
            <v xml:space="preserve">บจ.เจริญยนต์ไทยพัฒนา  </v>
          </cell>
          <cell r="C361" t="str">
            <v>วิชาดา เพิ่มพันธุ์วรวัฒน์</v>
          </cell>
          <cell r="D361" t="str">
            <v>TTB</v>
          </cell>
          <cell r="E361" t="str">
            <v>919-2-32631-3</v>
          </cell>
        </row>
        <row r="362">
          <cell r="B362" t="str">
            <v>บจ.เชือกและอวนสยาม</v>
          </cell>
          <cell r="C362" t="str">
            <v>บจ.เชือกและอวนสยาม</v>
          </cell>
          <cell r="D362" t="str">
            <v>BBL</v>
          </cell>
          <cell r="E362" t="str">
            <v>101-3-24269-6</v>
          </cell>
        </row>
        <row r="363">
          <cell r="B363" t="str">
            <v>บจ.ซันนี่เวล ระนอง</v>
          </cell>
          <cell r="C363" t="str">
            <v>บจ.ซันนี่เวล ระนอง</v>
          </cell>
          <cell r="D363" t="str">
            <v>BBL</v>
          </cell>
          <cell r="E363" t="str">
            <v>527-0-23131-8</v>
          </cell>
        </row>
        <row r="364">
          <cell r="B364" t="str">
            <v>บจ.ซี.เอส.เอส.ซี(ประเทศไทย)</v>
          </cell>
          <cell r="C364" t="str">
            <v>บจ.ซี.เอส.เอส.ซี(ประเทศไทย)</v>
          </cell>
          <cell r="D364" t="str">
            <v>BBL</v>
          </cell>
          <cell r="E364" t="str">
            <v>130-7-12898-1</v>
          </cell>
        </row>
        <row r="365">
          <cell r="B365" t="str">
            <v>บจ.ดีเจนเอนจิเนียริ่ง</v>
          </cell>
          <cell r="C365" t="str">
            <v>บจ.ดีเจนเอนจิเนียริ่ง</v>
          </cell>
          <cell r="D365" t="str">
            <v>BBL</v>
          </cell>
          <cell r="E365" t="str">
            <v>499-3-01173-5</v>
          </cell>
        </row>
        <row r="366">
          <cell r="B366" t="str">
            <v>บจ.แดดเสรี</v>
          </cell>
          <cell r="C366" t="str">
            <v>บจ.แดดเสรี</v>
          </cell>
          <cell r="D366" t="str">
            <v>Kbank</v>
          </cell>
          <cell r="E366" t="str">
            <v>140-1-36153-3</v>
          </cell>
        </row>
        <row r="367">
          <cell r="B367" t="str">
            <v>บจ.แดน เครนเซอร์วิส</v>
          </cell>
          <cell r="C367" t="str">
            <v>บจ.แดน เครนเซอร์วิส</v>
          </cell>
          <cell r="D367" t="str">
            <v>Kbank</v>
          </cell>
          <cell r="E367" t="str">
            <v>689-2-21651-5</v>
          </cell>
        </row>
        <row r="368">
          <cell r="B368" t="str">
            <v>บจ.ถ่ามหังกี่ เอ็นจิเนียริ่ง</v>
          </cell>
          <cell r="C368" t="str">
            <v>บจ.ถ่ามหังกี่ เอ็นจิเนียริ่ง</v>
          </cell>
          <cell r="D368" t="str">
            <v>BBL</v>
          </cell>
          <cell r="E368" t="str">
            <v>228-4-43126-5</v>
          </cell>
        </row>
        <row r="369">
          <cell r="B369" t="str">
            <v>บจ.ไถ่เชียงระนอง</v>
          </cell>
          <cell r="C369" t="str">
            <v>บจ.ไถ่เชียงระนอง</v>
          </cell>
          <cell r="D369" t="str">
            <v>Kbank</v>
          </cell>
          <cell r="E369" t="str">
            <v>042-8-46969-0</v>
          </cell>
        </row>
        <row r="370">
          <cell r="B370" t="str">
            <v>บจ.ทรัพย์พุฒิเมธ</v>
          </cell>
          <cell r="C370" t="str">
            <v>บจ.ทรัพย์พุฒิเมธ</v>
          </cell>
          <cell r="D370" t="str">
            <v>BAY</v>
          </cell>
          <cell r="E370" t="str">
            <v>161-1-38423-6</v>
          </cell>
        </row>
        <row r="371">
          <cell r="B371" t="str">
            <v>บจ.ทรัพย์สิริซัพพลาย</v>
          </cell>
          <cell r="C371" t="str">
            <v>คุณคมสัน  โตวรวิวัฒน์</v>
          </cell>
          <cell r="D371" t="str">
            <v>BBL</v>
          </cell>
          <cell r="E371" t="str">
            <v>211-0-55123-7</v>
          </cell>
        </row>
        <row r="372">
          <cell r="B372" t="str">
            <v>บจ.ทริปเปิลเอส&amp;เอ็นอีควิปเม้นท์</v>
          </cell>
          <cell r="C372" t="str">
            <v>คุณสมพร อบพล</v>
          </cell>
          <cell r="D372" t="str">
            <v>Kbank</v>
          </cell>
          <cell r="E372" t="str">
            <v>475-2-22127-5</v>
          </cell>
        </row>
        <row r="373">
          <cell r="B373" t="str">
            <v>บจ.ที.ซี.เค อินเตอร์เนชั่นแนล</v>
          </cell>
          <cell r="C373" t="str">
            <v>บจ.ที.ซี.เค อินเตอร์เนชั่นแนล</v>
          </cell>
          <cell r="D373" t="str">
            <v>Kbank</v>
          </cell>
          <cell r="E373" t="str">
            <v>312-2-02378-7</v>
          </cell>
        </row>
        <row r="374">
          <cell r="B374" t="str">
            <v>บจ.ที.เอช.เค ซีสเท็ม</v>
          </cell>
          <cell r="C374" t="str">
            <v>บจ.ที.เอช.เค ซีสเท็ม</v>
          </cell>
          <cell r="D374" t="str">
            <v>Kbank</v>
          </cell>
          <cell r="E374" t="str">
            <v>711-2-99399-6</v>
          </cell>
        </row>
        <row r="375">
          <cell r="B375" t="str">
            <v>บจ.ทีเอ็นกรุ๊ป คอร์ปอเรชั่น</v>
          </cell>
          <cell r="C375" t="str">
            <v>บจ.ทีเอ็นกรุ๊ป คอร์ปอเรชั่น</v>
          </cell>
          <cell r="D375" t="str">
            <v>Kbank</v>
          </cell>
          <cell r="E375" t="str">
            <v>331-2-99996-9</v>
          </cell>
        </row>
        <row r="376">
          <cell r="B376" t="str">
            <v>บจ.ทีเอ็นเมตัลเวิร์ค</v>
          </cell>
          <cell r="C376" t="str">
            <v>บจ.ทีเอ็นเมตัลเวิร์ค</v>
          </cell>
          <cell r="D376" t="str">
            <v>Kbank</v>
          </cell>
          <cell r="E376" t="str">
            <v>331-1-02553-7</v>
          </cell>
        </row>
        <row r="377">
          <cell r="B377" t="str">
            <v>บจ.ทีเอ็นเวิล์ดซัพพลาย</v>
          </cell>
          <cell r="C377" t="str">
            <v>บจ.ทีเอ็นเวิล์ดซัพพลาย</v>
          </cell>
          <cell r="D377" t="str">
            <v>Kbank</v>
          </cell>
          <cell r="E377" t="str">
            <v>331-1-02552-9</v>
          </cell>
        </row>
        <row r="378">
          <cell r="B378" t="str">
            <v>บจ.ทุ่งคาคอนกรีต</v>
          </cell>
          <cell r="C378" t="str">
            <v>บจก.ทุ่งคาคอนกรีต</v>
          </cell>
          <cell r="D378" t="str">
            <v>KTB</v>
          </cell>
          <cell r="E378" t="str">
            <v>832-6-00316-6</v>
          </cell>
        </row>
        <row r="379">
          <cell r="B379" t="str">
            <v xml:space="preserve">บจ.ทุ่งคาคอนกรีต </v>
          </cell>
          <cell r="C379" t="str">
            <v>คุณวีรวัฒน์และคุณเมธา</v>
          </cell>
          <cell r="D379" t="str">
            <v>KTB</v>
          </cell>
          <cell r="E379" t="str">
            <v>832-6-00655-6</v>
          </cell>
        </row>
        <row r="380">
          <cell r="B380" t="str">
            <v>บจ.ทูลโปรเฟสชั่น</v>
          </cell>
          <cell r="C380" t="str">
            <v>บจ.ทูลโปรเฟสชั่น</v>
          </cell>
          <cell r="D380" t="str">
            <v>Kbank</v>
          </cell>
          <cell r="E380" t="str">
            <v>548-2-18378-8</v>
          </cell>
        </row>
        <row r="381">
          <cell r="B381" t="str">
            <v>บจ.เทพศิริ</v>
          </cell>
          <cell r="C381" t="str">
            <v>นายวรเทพ ชุมพลกูลวงศ์</v>
          </cell>
          <cell r="D381" t="str">
            <v>BBL</v>
          </cell>
          <cell r="E381" t="str">
            <v>139-3-05987-6</v>
          </cell>
        </row>
        <row r="382">
          <cell r="B382" t="str">
            <v>บจ.ไทม์ แอคเซส โซลูชั่น</v>
          </cell>
          <cell r="C382" t="str">
            <v>บจ.ไทม์ แอคเซส โซลูชั่น</v>
          </cell>
          <cell r="D382" t="str">
            <v>Kbank</v>
          </cell>
          <cell r="E382" t="str">
            <v>011-1-77313-0</v>
          </cell>
        </row>
        <row r="383">
          <cell r="B383" t="str">
            <v>บจ.ไทย ท็อป ทูลส์</v>
          </cell>
          <cell r="C383" t="str">
            <v>บจ.ไทย ท็อป ทูลส์</v>
          </cell>
          <cell r="D383" t="str">
            <v>TTB</v>
          </cell>
          <cell r="E383" t="str">
            <v>215-1-00721-4</v>
          </cell>
        </row>
        <row r="384">
          <cell r="B384" t="str">
            <v>บจ.ไทยท็อปทูลส์ ฟิชชรี</v>
          </cell>
          <cell r="C384" t="str">
            <v>นายธนกรณ์  จันทร์ฟ้ารุ่งเรือง</v>
          </cell>
          <cell r="D384" t="str">
            <v>Kbank</v>
          </cell>
          <cell r="E384" t="str">
            <v>460-2-09913-5</v>
          </cell>
        </row>
        <row r="385">
          <cell r="B385" t="str">
            <v xml:space="preserve">บจ.ไทยท็อปทูลส์ ฟิชชรี </v>
          </cell>
          <cell r="C385" t="str">
            <v>นายโรจน์วิทย์  จันทร์ฟ้ารุ่งเรือง</v>
          </cell>
          <cell r="D385" t="str">
            <v>Kbank</v>
          </cell>
          <cell r="E385" t="str">
            <v>232-2-42121-7</v>
          </cell>
        </row>
        <row r="386">
          <cell r="B386" t="str">
            <v>บจ.ไทยพิพัฒน์ทูล แอนด์ โฮมมาร์ท</v>
          </cell>
          <cell r="C386" t="str">
            <v>บจ.ไทยพิพัฒน์ทูล แอนด์ โฮมมาร์ท</v>
          </cell>
          <cell r="D386" t="str">
            <v>KTB</v>
          </cell>
          <cell r="E386" t="str">
            <v>450-6-00255-5</v>
          </cell>
        </row>
        <row r="387">
          <cell r="B387" t="str">
            <v>บจ.ไทยมุ้ย คอร์ปอเรชั่น</v>
          </cell>
          <cell r="C387" t="str">
            <v>บจ.ไทยมุ้ย คอร์ปอเรชั่น</v>
          </cell>
          <cell r="D387" t="str">
            <v>Kbank</v>
          </cell>
          <cell r="E387" t="str">
            <v>050-2-23841-8</v>
          </cell>
        </row>
        <row r="388">
          <cell r="B388" t="str">
            <v>บจ.ไทยเมทอล อิมปอร์ต</v>
          </cell>
          <cell r="C388" t="str">
            <v>บจ.ไทยเมทอล อิมปอร์ต</v>
          </cell>
          <cell r="D388" t="str">
            <v>Kbank</v>
          </cell>
          <cell r="E388" t="str">
            <v>421-1-02577-3</v>
          </cell>
        </row>
        <row r="389">
          <cell r="B389" t="str">
            <v>บจ.ไทย อินดัสเตรียล เบรค</v>
          </cell>
          <cell r="C389" t="str">
            <v>บจ.ไทย อินดัสเตรียล เบรค</v>
          </cell>
          <cell r="D389" t="str">
            <v>Kbank</v>
          </cell>
          <cell r="E389" t="str">
            <v>170-8-02831-9</v>
          </cell>
        </row>
        <row r="390">
          <cell r="B390" t="str">
            <v>บจ.ไทร์ทรัคเซ็นเตอร์อินเตอร์เทรด</v>
          </cell>
          <cell r="C390" t="str">
            <v>บจ.ไทร์ทรัคเซ็นเตอร์อินเตอร์เทรด</v>
          </cell>
          <cell r="D390" t="str">
            <v>BBL</v>
          </cell>
          <cell r="E390" t="str">
            <v>238-4-62341-5</v>
          </cell>
        </row>
        <row r="391">
          <cell r="B391" t="str">
            <v>บจ.ไทเกอร์แพค</v>
          </cell>
          <cell r="C391" t="str">
            <v>บจ.ไทเกอร์แพค</v>
          </cell>
          <cell r="D391" t="str">
            <v>SCB</v>
          </cell>
          <cell r="E391" t="str">
            <v>090-2-35339-7</v>
          </cell>
        </row>
        <row r="392">
          <cell r="B392" t="str">
            <v>บจ.ธนพรอิเล็คทริค</v>
          </cell>
          <cell r="C392" t="str">
            <v>บจ.ธนพรอิเล็คทริค</v>
          </cell>
          <cell r="D392" t="str">
            <v>Kbank</v>
          </cell>
          <cell r="E392" t="str">
            <v>995-2-22702-2</v>
          </cell>
        </row>
        <row r="393">
          <cell r="B393" t="str">
            <v>บจ.นครหลวงแมชีนเนอรี่</v>
          </cell>
          <cell r="C393" t="str">
            <v>คุณพัลลภ - ประยงค์  วิริยะสัจจะ</v>
          </cell>
          <cell r="D393" t="str">
            <v>BBL</v>
          </cell>
          <cell r="E393" t="str">
            <v>050-1-06500-5</v>
          </cell>
        </row>
        <row r="394">
          <cell r="B394" t="str">
            <v>บจ.เนตรพยัพ รับเบอร์ แมชชีน</v>
          </cell>
          <cell r="C394" t="str">
            <v>บจ.เนตรพยัพ รับเบอร์ แมชชีน</v>
          </cell>
          <cell r="D394" t="str">
            <v>Kbank</v>
          </cell>
          <cell r="E394" t="str">
            <v>036-3-40972-5</v>
          </cell>
        </row>
        <row r="395">
          <cell r="B395" t="str">
            <v>บจ.บางกอกโคมัตสุเซลส์</v>
          </cell>
          <cell r="C395" t="str">
            <v>บจ.บางกอกโคมัตสุเซลส์</v>
          </cell>
          <cell r="D395" t="str">
            <v>BBL</v>
          </cell>
          <cell r="E395" t="str">
            <v>533-3-00821-6</v>
          </cell>
        </row>
        <row r="396">
          <cell r="B396" t="str">
            <v>บจ.ป.ธนะกิจรุ่งเรือง</v>
          </cell>
          <cell r="C396" t="str">
            <v>บจ.ป.ธนะกิจรุ่งเรือง</v>
          </cell>
          <cell r="D396" t="str">
            <v>Kbank</v>
          </cell>
          <cell r="E396" t="str">
            <v>012-8-93132-5</v>
          </cell>
        </row>
        <row r="397">
          <cell r="B397" t="str">
            <v>บจ.ประธานอีเลคตริค</v>
          </cell>
          <cell r="C397" t="str">
            <v>บจ.ประธานอีเลคตริค</v>
          </cell>
          <cell r="D397" t="str">
            <v>Kbank</v>
          </cell>
          <cell r="E397" t="str">
            <v>016-2-99549-9</v>
          </cell>
        </row>
        <row r="398">
          <cell r="B398" t="str">
            <v>บจ.ปัทมสูตร มาร์เก็ตติ้ง</v>
          </cell>
          <cell r="C398" t="str">
            <v>บจ.ปัทมสูตร มาร์เก็ตติ้ง</v>
          </cell>
          <cell r="D398" t="str">
            <v>BBL</v>
          </cell>
          <cell r="E398" t="str">
            <v>920-0-01419-0</v>
          </cell>
        </row>
        <row r="399">
          <cell r="B399" t="str">
            <v>บจ.พรรณแก้วขนส่ง</v>
          </cell>
          <cell r="C399" t="str">
            <v>บจ.พรรณแก้วขนส่ง</v>
          </cell>
          <cell r="D399" t="str">
            <v>Kbank</v>
          </cell>
          <cell r="E399" t="str">
            <v>232-2-25896-0</v>
          </cell>
        </row>
        <row r="400">
          <cell r="B400" t="str">
            <v>บจ.พรีเมียร์ไลนิ่ง รีนิวเอเบิล</v>
          </cell>
          <cell r="C400" t="str">
            <v>บจ.พรีเมียร์ไลนิ่ง รีนิวเอเบิล</v>
          </cell>
          <cell r="D400" t="str">
            <v>BBL</v>
          </cell>
          <cell r="E400" t="str">
            <v>170-3-07181-9</v>
          </cell>
        </row>
        <row r="401">
          <cell r="B401" t="str">
            <v>บจ.พัฒนาภัณฑ์ โฮม แอพพลายแอนซ์</v>
          </cell>
          <cell r="C401" t="str">
            <v>บจ.พัฒนาภัณฑ์ โฮม แอพพลายแอนซ์</v>
          </cell>
          <cell r="D401" t="str">
            <v>BAY</v>
          </cell>
          <cell r="E401" t="str">
            <v>161-0-01871-0</v>
          </cell>
        </row>
        <row r="402">
          <cell r="B402" t="str">
            <v>บจ.พัฒนายนต์ชลบุรี</v>
          </cell>
          <cell r="C402" t="str">
            <v>บจ.พัฒนายนต์ชลบุรี</v>
          </cell>
          <cell r="D402" t="str">
            <v>BBL</v>
          </cell>
          <cell r="E402" t="str">
            <v>130-3-09467-4</v>
          </cell>
        </row>
        <row r="403">
          <cell r="B403" t="str">
            <v>บจ.พิน พอยต์ อินสทรูเม้นท์</v>
          </cell>
          <cell r="C403" t="str">
            <v>บจ.พิน พอยต์ อินสทรูเม้นท์</v>
          </cell>
          <cell r="D403" t="str">
            <v>SCB</v>
          </cell>
          <cell r="E403" t="str">
            <v>436-125446-9</v>
          </cell>
        </row>
        <row r="404">
          <cell r="B404" t="str">
            <v>บจ.พิพัฒนกิจเทรดดิ้ง</v>
          </cell>
          <cell r="C404" t="str">
            <v>บจ.พิพัฒนกิจเทรดดิ้ง</v>
          </cell>
          <cell r="D404" t="str">
            <v>Kbank</v>
          </cell>
          <cell r="E404" t="str">
            <v>027-2-90906-7</v>
          </cell>
        </row>
        <row r="405">
          <cell r="B405" t="str">
            <v>บจ.พีดับบลิว อินเตอร์มาร์ท</v>
          </cell>
          <cell r="C405" t="str">
            <v>คุณทศพร กิตติธรรมโรจน์</v>
          </cell>
          <cell r="D405" t="str">
            <v>SCB</v>
          </cell>
          <cell r="E405" t="str">
            <v>316-2-28961-1</v>
          </cell>
        </row>
        <row r="406">
          <cell r="B406" t="str">
            <v xml:space="preserve">บจ.พีดับบลิว อินเตอร์มาร์ท </v>
          </cell>
          <cell r="C406" t="str">
            <v xml:space="preserve">คุณทศพร กิตติธรรมโรจน์ </v>
          </cell>
          <cell r="D406" t="str">
            <v>Kbank</v>
          </cell>
          <cell r="E406" t="str">
            <v>261-2-11978-8</v>
          </cell>
        </row>
        <row r="407">
          <cell r="B407" t="str">
            <v>บจ.พีดับบลิว อินเตอร์มาร์ท.</v>
          </cell>
          <cell r="C407" t="str">
            <v>บจ.พีดับบลิว อินเตอร์มาร์ท</v>
          </cell>
          <cell r="D407" t="str">
            <v>SCB</v>
          </cell>
          <cell r="E407" t="str">
            <v>316-3-01822-5</v>
          </cell>
        </row>
        <row r="408">
          <cell r="B408" t="str">
            <v>บจ.พีอาร์วิศวกรรม BBL</v>
          </cell>
          <cell r="C408" t="str">
            <v xml:space="preserve">บจ.พีอาร์วิศวกรรม </v>
          </cell>
          <cell r="D408" t="str">
            <v>BBL</v>
          </cell>
          <cell r="E408" t="str">
            <v>105-3-04796-3</v>
          </cell>
        </row>
        <row r="409">
          <cell r="B409" t="str">
            <v>บจ.พีอาร์วิศวกรรม K</v>
          </cell>
          <cell r="C409" t="str">
            <v>บจ.พีอาร์วิศวกรรม</v>
          </cell>
          <cell r="D409" t="str">
            <v>Kbank</v>
          </cell>
          <cell r="E409" t="str">
            <v>060-1-00620-0</v>
          </cell>
        </row>
        <row r="410">
          <cell r="B410" t="str">
            <v>บจ.พีเอสวิคตอรี่ ซิสเต็ม เอ็นเตอร์ไพรส์</v>
          </cell>
          <cell r="C410" t="str">
            <v>บจ.พีเอสวิคตอรี่ ซิสเต็ม เอ็นเตอร์ไพรส์</v>
          </cell>
          <cell r="D410" t="str">
            <v>Kbank</v>
          </cell>
          <cell r="E410" t="str">
            <v>768-2-02805-4</v>
          </cell>
        </row>
        <row r="411">
          <cell r="B411" t="str">
            <v>บจ.พีเอเอ็น อิมปอร์ต</v>
          </cell>
          <cell r="C411" t="str">
            <v>คุณพงษ์ศักดิ์  มงคลพร</v>
          </cell>
          <cell r="D411" t="str">
            <v>Kbank</v>
          </cell>
          <cell r="E411" t="str">
            <v>184-2-59232-8</v>
          </cell>
        </row>
        <row r="412">
          <cell r="B412" t="str">
            <v>บจ.พีแอนด์เอสเอ็นเตอร์ไพร์ส(ประเทศไทย)</v>
          </cell>
          <cell r="C412" t="str">
            <v>บจ.พีแอนด์เอสเอ็นเตอร์ไพร์ส(ประเทศไทย)</v>
          </cell>
          <cell r="D412" t="str">
            <v>BBL</v>
          </cell>
          <cell r="E412" t="str">
            <v>130-4-63106-0</v>
          </cell>
        </row>
        <row r="413">
          <cell r="B413" t="str">
            <v>บจ.ภัทรเมธากิจ</v>
          </cell>
          <cell r="C413" t="str">
            <v>บจ.ภัทรเมธากิจ</v>
          </cell>
          <cell r="D413" t="str">
            <v>BBL</v>
          </cell>
          <cell r="E413" t="str">
            <v>121-3-05860-3</v>
          </cell>
        </row>
        <row r="414">
          <cell r="B414" t="str">
            <v>บจ.มานิตย์ระนองการเกษตร</v>
          </cell>
          <cell r="C414" t="str">
            <v>บจ.มานิตย์ระนองการเกษตร</v>
          </cell>
          <cell r="D414" t="str">
            <v>SCB</v>
          </cell>
          <cell r="E414" t="str">
            <v>581-2-40400-0</v>
          </cell>
        </row>
        <row r="415">
          <cell r="B415" t="str">
            <v>บจ.มิตรแท้ประกันภัย</v>
          </cell>
          <cell r="C415" t="str">
            <v>บจ.มิตรแท้ประกันภัย</v>
          </cell>
          <cell r="D415" t="str">
            <v>Kbank</v>
          </cell>
          <cell r="E415" t="str">
            <v>001-2-15679-2</v>
          </cell>
        </row>
        <row r="416">
          <cell r="B416" t="str">
            <v>บจ.มุลเลอร์กรุ๊ป</v>
          </cell>
          <cell r="C416" t="str">
            <v>บจ.มุลเลอร์กรุ๊ป</v>
          </cell>
          <cell r="D416" t="str">
            <v>BBL</v>
          </cell>
          <cell r="E416" t="str">
            <v>246-3-00521-1</v>
          </cell>
        </row>
        <row r="417">
          <cell r="B417" t="str">
            <v>บจ.มูน สตาร์ซ์ อิมพอร์ต เอ็กซ์พอร์ต</v>
          </cell>
          <cell r="C417" t="str">
            <v>บจ.มูน สตาร์ซ์ อิมพอร์ต เอ็กซ์พอร์ต</v>
          </cell>
          <cell r="D417" t="str">
            <v>Kbank</v>
          </cell>
          <cell r="E417" t="str">
            <v>060-2-84909-0</v>
          </cell>
        </row>
        <row r="418">
          <cell r="B418" t="str">
            <v>บจ.เมก้า ยูโร</v>
          </cell>
          <cell r="C418" t="str">
            <v>บจ.เมก้า ยูโร</v>
          </cell>
          <cell r="D418" t="str">
            <v>BAY</v>
          </cell>
          <cell r="E418" t="str">
            <v>333-1-81810-0</v>
          </cell>
        </row>
        <row r="419">
          <cell r="B419" t="str">
            <v>บจ.เมโทร ลูบริคแคนท์</v>
          </cell>
          <cell r="C419" t="str">
            <v>บจ.เมโทร ลูบริคแคนท์</v>
          </cell>
          <cell r="D419" t="str">
            <v>BBL</v>
          </cell>
          <cell r="E419" t="str">
            <v>202-4-40022-4</v>
          </cell>
        </row>
        <row r="420">
          <cell r="B420" t="str">
            <v>บจ.เมโทรแมชีนเนอรี่</v>
          </cell>
          <cell r="C420" t="str">
            <v>บจ.เมโทรแมชีนเนอรี่</v>
          </cell>
          <cell r="D420" t="str">
            <v>BBL</v>
          </cell>
          <cell r="E420" t="str">
            <v>534-3-00078-1</v>
          </cell>
        </row>
        <row r="421">
          <cell r="B421" t="str">
            <v>บจ.โมบาย อินโนเวชั่น</v>
          </cell>
          <cell r="C421" t="str">
            <v>บจ.โมบาย อินโนเวชั่น</v>
          </cell>
          <cell r="D421" t="str">
            <v>Kbank</v>
          </cell>
          <cell r="E421" t="str">
            <v>052-2-63399-2</v>
          </cell>
        </row>
        <row r="422">
          <cell r="B422" t="str">
            <v>บจ.ย่งฮงประเทศไทย</v>
          </cell>
          <cell r="C422" t="str">
            <v>บจ.ย่งฮงประเทศไทย</v>
          </cell>
          <cell r="D422" t="str">
            <v>Kbank</v>
          </cell>
          <cell r="E422" t="str">
            <v>027-1-17722-4</v>
          </cell>
        </row>
        <row r="423">
          <cell r="B423" t="str">
            <v>บจ.ยนต์ไทยพัฒนา</v>
          </cell>
          <cell r="C423" t="str">
            <v>คุณธงชัย  วรนาวิน</v>
          </cell>
          <cell r="D423" t="str">
            <v>Kbank</v>
          </cell>
          <cell r="E423" t="str">
            <v>048-2-98170-4</v>
          </cell>
        </row>
        <row r="424">
          <cell r="B424" t="str">
            <v xml:space="preserve">บจ.ยนต์ไทยพัฒนา </v>
          </cell>
          <cell r="C424" t="str">
            <v>บจ.ยนต์ไทยพัฒนา</v>
          </cell>
          <cell r="D424" t="str">
            <v>Kbank</v>
          </cell>
          <cell r="E424" t="str">
            <v>048-1-02442-0</v>
          </cell>
        </row>
        <row r="425">
          <cell r="B425" t="str">
            <v>บจ.ยนตรการเมทัลเวิร์ค</v>
          </cell>
          <cell r="C425" t="str">
            <v>บจ.ยนตรการเมทัลเวิร์ค</v>
          </cell>
          <cell r="D425" t="str">
            <v>BBL</v>
          </cell>
          <cell r="E425" t="str">
            <v>308-3-03543-0</v>
          </cell>
        </row>
        <row r="426">
          <cell r="B426" t="str">
            <v>บจ.ยูนิตี้ ไอที ซิสเต็ม</v>
          </cell>
          <cell r="C426" t="str">
            <v>บจ.ยูนิตี้ ไอที ซิสเต็ม</v>
          </cell>
          <cell r="D426" t="str">
            <v>BBL</v>
          </cell>
          <cell r="E426" t="str">
            <v>291-0-87818-6</v>
          </cell>
        </row>
        <row r="427">
          <cell r="B427" t="str">
            <v>บจ.ยูโรป้า ฮาร์ดแวร์ กรุ๊ป</v>
          </cell>
          <cell r="C427" t="str">
            <v>บจ.ยูโรป้า ฮาร์ดแวร์ กรุ๊ป</v>
          </cell>
          <cell r="D427" t="str">
            <v>Kbank</v>
          </cell>
          <cell r="E427" t="str">
            <v>034-2-87677-3</v>
          </cell>
        </row>
        <row r="428">
          <cell r="B428" t="str">
            <v>บจ.ร๊อคแคนวาส</v>
          </cell>
          <cell r="C428" t="str">
            <v>นายสมเกียรติ  แสนเจริญ</v>
          </cell>
          <cell r="D428" t="str">
            <v>Kbank</v>
          </cell>
          <cell r="E428" t="str">
            <v>090-2-10295-7</v>
          </cell>
        </row>
        <row r="429">
          <cell r="B429" t="str">
            <v>บจ.โรงกลึงสองวัลย์</v>
          </cell>
          <cell r="C429" t="str">
            <v>คุณเครือวัลย์  วระพิมรัตน์</v>
          </cell>
          <cell r="D429" t="str">
            <v>Kbank</v>
          </cell>
          <cell r="E429" t="str">
            <v>711-2-49291-1</v>
          </cell>
        </row>
        <row r="430">
          <cell r="B430" t="str">
            <v>บจ.ลี้เซียฮวด</v>
          </cell>
          <cell r="C430" t="str">
            <v>บจ.ลี้เซียฮวด</v>
          </cell>
          <cell r="D430" t="str">
            <v>BBL</v>
          </cell>
          <cell r="E430" t="str">
            <v>112-0-29398-8</v>
          </cell>
        </row>
        <row r="431">
          <cell r="B431" t="str">
            <v>บจ.ลีบแฮรร์ (ประเทศไทย)</v>
          </cell>
          <cell r="C431" t="str">
            <v>บจ.ลีบแฮรร์ (ประเทศไทย)</v>
          </cell>
          <cell r="D431" t="str">
            <v>Kbank</v>
          </cell>
          <cell r="E431" t="str">
            <v>280-2-29019-8</v>
          </cell>
        </row>
        <row r="432">
          <cell r="B432" t="str">
            <v>บจ.ลีแมชชีนเนอรี่(ประเทศไทย)</v>
          </cell>
          <cell r="C432" t="str">
            <v>บจ.ลีแมชชีนเนอรี่(ประเทศไทย)</v>
          </cell>
          <cell r="D432" t="str">
            <v>UOB</v>
          </cell>
          <cell r="E432" t="str">
            <v>701-1-25701-5</v>
          </cell>
        </row>
        <row r="433">
          <cell r="B433" t="str">
            <v>บจ.เล็กสตาร์กรุ๊ป</v>
          </cell>
          <cell r="C433" t="str">
            <v>บจ.เล็กสตาร์กรุ๊ป</v>
          </cell>
          <cell r="D433" t="str">
            <v>KTB</v>
          </cell>
          <cell r="E433" t="str">
            <v>494-6-00157-3</v>
          </cell>
        </row>
        <row r="434">
          <cell r="B434" t="str">
            <v>บจ.เลิศสยามสตีล BBL</v>
          </cell>
          <cell r="C434" t="str">
            <v>บจ.เลิศสยามสตีล</v>
          </cell>
          <cell r="D434" t="str">
            <v>BBL</v>
          </cell>
          <cell r="E434" t="str">
            <v>139-3-07629-2</v>
          </cell>
        </row>
        <row r="435">
          <cell r="B435" t="str">
            <v>บจ.เลิศสยามสตีล K</v>
          </cell>
          <cell r="C435" t="str">
            <v xml:space="preserve">บจ. เลิศสยามสตีล </v>
          </cell>
          <cell r="D435" t="str">
            <v>Kbank</v>
          </cell>
          <cell r="E435" t="str">
            <v>066-1-06958-9</v>
          </cell>
        </row>
        <row r="436">
          <cell r="B436" t="str">
            <v>บจ.เลี่ยงฮะเอ็นเตอร์ไพรส์</v>
          </cell>
          <cell r="C436" t="str">
            <v>คุณเสริมสิน วงศ์ญาพรหม</v>
          </cell>
          <cell r="D436" t="str">
            <v>Kbank</v>
          </cell>
          <cell r="E436" t="str">
            <v>033-1-89533-4</v>
          </cell>
        </row>
        <row r="437">
          <cell r="B437" t="str">
            <v>บจ.วอเตอร์ วอเตอร์กรุ๊ป</v>
          </cell>
          <cell r="C437" t="str">
            <v>นายจักรกฤษณ์  คงเพชร</v>
          </cell>
          <cell r="D437" t="str">
            <v>Kbank</v>
          </cell>
          <cell r="E437" t="str">
            <v>081-1-03752-4</v>
          </cell>
        </row>
        <row r="438">
          <cell r="B438" t="str">
            <v>บจ.วาตะศิลป์</v>
          </cell>
          <cell r="C438" t="str">
            <v>นายเมธี วาตะศิริกุล</v>
          </cell>
          <cell r="D438" t="str">
            <v>TTB</v>
          </cell>
          <cell r="E438" t="str">
            <v>313-2-70994-4</v>
          </cell>
        </row>
        <row r="439">
          <cell r="B439" t="str">
            <v xml:space="preserve">บจ.วาตะศิลป์ </v>
          </cell>
          <cell r="C439" t="str">
            <v xml:space="preserve">นายเมธี วาตะศิริกุล </v>
          </cell>
          <cell r="D439" t="str">
            <v>KTB</v>
          </cell>
          <cell r="E439" t="str">
            <v>827-6-00455-5</v>
          </cell>
        </row>
        <row r="440">
          <cell r="B440" t="str">
            <v>บจ.วาตะศิลป์โลหะการ</v>
          </cell>
          <cell r="C440" t="str">
            <v>บจ.วาตะศิลป์โลหะการ</v>
          </cell>
          <cell r="D440" t="str">
            <v>BBL</v>
          </cell>
          <cell r="E440" t="str">
            <v>291-3-05395-1</v>
          </cell>
        </row>
        <row r="441">
          <cell r="B441" t="str">
            <v xml:space="preserve">บจ.วาตะศิลป์โลหะการ </v>
          </cell>
          <cell r="C441" t="str">
            <v>บจ. วาตะศิลป์โลหะการ</v>
          </cell>
          <cell r="D441" t="str">
            <v>BBL</v>
          </cell>
          <cell r="E441" t="str">
            <v>296-0-62987-7</v>
          </cell>
        </row>
        <row r="442">
          <cell r="B442" t="str">
            <v>บจ.วานิชรุ่งเรือง โกลบอล เอ็นจิเนียริ่ง</v>
          </cell>
          <cell r="C442" t="str">
            <v>บจ.วานิชรุ่งเรือง โกลบอล เอ็นจิเนียริ่ง</v>
          </cell>
          <cell r="D442" t="str">
            <v>SCB</v>
          </cell>
          <cell r="E442" t="str">
            <v>046-3-04693-8</v>
          </cell>
        </row>
        <row r="443">
          <cell r="B443" t="str">
            <v>บจ.วานิชรุ่งเรือง เอ็นจิเนียริ่ง</v>
          </cell>
          <cell r="C443" t="str">
            <v>บจ.วานิชรุ่งเรือง เอ็นจิเนียริ่ง</v>
          </cell>
          <cell r="D443" t="str">
            <v>Kbank</v>
          </cell>
          <cell r="E443" t="str">
            <v>743-1-03553-1</v>
          </cell>
        </row>
        <row r="444">
          <cell r="B444" t="str">
            <v>บจ.วาริท</v>
          </cell>
          <cell r="C444" t="str">
            <v>บจ.วาริท</v>
          </cell>
          <cell r="D444" t="str">
            <v>Kbank</v>
          </cell>
          <cell r="E444" t="str">
            <v>713-2-11955-9</v>
          </cell>
        </row>
        <row r="445">
          <cell r="B445" t="str">
            <v>บจ.วีระสตีลอิมปอร์ต</v>
          </cell>
          <cell r="C445" t="str">
            <v>บจ.วีระสตีลอิมปอร์ต</v>
          </cell>
          <cell r="D445" t="str">
            <v>Kbank</v>
          </cell>
          <cell r="E445" t="str">
            <v>050-2-51115-7</v>
          </cell>
        </row>
        <row r="446">
          <cell r="B446" t="str">
            <v>บจ.วีอาร์. วาเลอร์</v>
          </cell>
          <cell r="C446" t="str">
            <v>บจ.วีอาร์. วาเลอร์</v>
          </cell>
          <cell r="D446" t="str">
            <v>BBL</v>
          </cell>
          <cell r="E446" t="str">
            <v>919-0-00991-1</v>
          </cell>
        </row>
        <row r="447">
          <cell r="B447" t="str">
            <v>บจ.เวลคัม เอฟโวลูชั่น</v>
          </cell>
          <cell r="C447" t="str">
            <v>บจ.เวลคัม เอฟโวลูชั่น</v>
          </cell>
          <cell r="D447" t="str">
            <v>SCB</v>
          </cell>
          <cell r="E447" t="str">
            <v>357-2-17657-1</v>
          </cell>
        </row>
        <row r="448">
          <cell r="B448" t="str">
            <v>บจ.ไวส์เอนเตอร์ไพรส์</v>
          </cell>
          <cell r="C448" t="str">
            <v>บจ.ไวส์เอนเตอร์ไพรส์</v>
          </cell>
          <cell r="D448" t="str">
            <v>Kbank</v>
          </cell>
          <cell r="E448" t="str">
            <v>055-1-08161-3</v>
          </cell>
        </row>
        <row r="449">
          <cell r="B449" t="str">
            <v>บจ.ศรีนครชัย อินเตอร์เทรดดิ้ง</v>
          </cell>
          <cell r="C449" t="str">
            <v>บจ.ศรีนครชัย อินเตอร์เทรดดิ้ง</v>
          </cell>
          <cell r="D449" t="str">
            <v>SCB</v>
          </cell>
          <cell r="E449" t="str">
            <v>038-4-75097-9</v>
          </cell>
        </row>
        <row r="450">
          <cell r="B450" t="str">
            <v>บจ.ศรีโพธิ์ทองเมตัลเวิร์ค</v>
          </cell>
          <cell r="C450" t="str">
            <v>บจ.ศรีโพธิ์ทองเมตัลเวิร์ค</v>
          </cell>
          <cell r="D450" t="str">
            <v>BBL</v>
          </cell>
          <cell r="E450" t="str">
            <v>114-3-11686-9</v>
          </cell>
        </row>
        <row r="451">
          <cell r="B451" t="str">
            <v>บจ.ศุฐิศา อินเทลลิเจนท์</v>
          </cell>
          <cell r="C451" t="str">
            <v>บจ.ศุฐิศา อินเทลลิเจนท์</v>
          </cell>
          <cell r="D451" t="str">
            <v>Kbank</v>
          </cell>
          <cell r="E451" t="str">
            <v>197-1-51365-5</v>
          </cell>
        </row>
        <row r="452">
          <cell r="B452" t="str">
            <v>บจ.สมัยการค้า</v>
          </cell>
          <cell r="C452" t="str">
            <v>บจ.สมัยการค้า</v>
          </cell>
          <cell r="D452" t="str">
            <v>Kbank</v>
          </cell>
          <cell r="E452" t="str">
            <v>232-2-30998-0</v>
          </cell>
        </row>
        <row r="453">
          <cell r="B453" t="str">
            <v>บจ.สมาร์ท คูล (ไทยแลนด์)</v>
          </cell>
          <cell r="C453" t="str">
            <v>บจ.สมาร์ท คูล(ไทยแลนด์)</v>
          </cell>
          <cell r="D453" t="str">
            <v>Kbank</v>
          </cell>
          <cell r="E453" t="str">
            <v>021-8-94998-3</v>
          </cell>
        </row>
        <row r="454">
          <cell r="B454" t="str">
            <v>บจ.สมาร์ท คูล(ไทยแลนด์)</v>
          </cell>
          <cell r="C454" t="str">
            <v>คุณณัชชารีย์  สมเผดิมชญากิตติ์</v>
          </cell>
          <cell r="D454" t="str">
            <v>TTB</v>
          </cell>
          <cell r="E454" t="str">
            <v>215-7-33023-0</v>
          </cell>
        </row>
        <row r="455">
          <cell r="B455" t="str">
            <v>บจ.สยาม โกลบอล กรุ๊ป</v>
          </cell>
          <cell r="C455" t="str">
            <v>บจ.สยาม โกลบอล กรุ๊ป</v>
          </cell>
          <cell r="D455" t="str">
            <v>BBL</v>
          </cell>
          <cell r="E455" t="str">
            <v>919-3-00165-9</v>
          </cell>
        </row>
        <row r="456">
          <cell r="B456" t="str">
            <v>บจ.สยามบราเดอร์</v>
          </cell>
          <cell r="C456" t="str">
            <v>บจ.สยามบราเดอร์</v>
          </cell>
          <cell r="D456" t="str">
            <v>BBL</v>
          </cell>
          <cell r="E456" t="str">
            <v>101-3-05631-0</v>
          </cell>
        </row>
        <row r="457">
          <cell r="B457" t="str">
            <v>บจ.สยามแบริ่ง</v>
          </cell>
          <cell r="C457" t="str">
            <v>สยามแบริ่ง โดยนายประวิทย์</v>
          </cell>
          <cell r="D457" t="str">
            <v>BBL</v>
          </cell>
          <cell r="E457" t="str">
            <v>103-0-65093-9</v>
          </cell>
        </row>
        <row r="458">
          <cell r="B458" t="str">
            <v>บจ.สะดวก สะอาด ปลอดภัย</v>
          </cell>
          <cell r="C458" t="str">
            <v>บจ.สะดวก สะอาด ปลอดภัย</v>
          </cell>
          <cell r="D458" t="str">
            <v>Kbank</v>
          </cell>
          <cell r="E458" t="str">
            <v>035-3-44573-1</v>
          </cell>
        </row>
        <row r="459">
          <cell r="B459" t="str">
            <v xml:space="preserve">บจ.สะดวก สะอาด ปลอดภัย </v>
          </cell>
          <cell r="C459" t="str">
            <v>คุณรัชดา  ศรีพัฒนวงศ์</v>
          </cell>
          <cell r="D459" t="str">
            <v>Kbank</v>
          </cell>
          <cell r="E459" t="str">
            <v>727-2-01034-4</v>
          </cell>
        </row>
        <row r="460">
          <cell r="B460" t="str">
            <v>บจ.สินทองคำพาณิชย์</v>
          </cell>
          <cell r="C460" t="str">
            <v>บจ.สินทองคำพาณิชย์</v>
          </cell>
          <cell r="D460" t="str">
            <v>Kbank</v>
          </cell>
          <cell r="E460" t="str">
            <v>178-8-32354-5</v>
          </cell>
        </row>
        <row r="461">
          <cell r="B461" t="str">
            <v>บจ.สุราษ พาร์ท&amp;เซอร์วิสเซส</v>
          </cell>
          <cell r="C461" t="str">
            <v>บจ.สุราษ พาร์ท&amp;เซอร์วิสเซส</v>
          </cell>
          <cell r="D461" t="str">
            <v>Kbank</v>
          </cell>
          <cell r="E461" t="str">
            <v>657-2-20836-0</v>
          </cell>
        </row>
        <row r="462">
          <cell r="B462" t="str">
            <v>บจ.เหล็กสยามพาณิชย์</v>
          </cell>
          <cell r="C462" t="str">
            <v>บจ.เหล็กสยามพาณิชย์</v>
          </cell>
          <cell r="D462" t="str">
            <v>Kbank</v>
          </cell>
          <cell r="E462" t="str">
            <v>711-2-67311-8</v>
          </cell>
        </row>
        <row r="463">
          <cell r="B463" t="str">
            <v>บจ.ใหญ่สมบูรณ์เอ็นจิเนียริ่ง</v>
          </cell>
          <cell r="C463" t="str">
            <v>บจ.ใหญ่สมบูรณ์เอ็นจิเนียริ่ง</v>
          </cell>
          <cell r="D463" t="str">
            <v>Kbank</v>
          </cell>
          <cell r="E463" t="str">
            <v>084-3-92685-1</v>
          </cell>
        </row>
        <row r="464">
          <cell r="B464" t="str">
            <v>บจ.อมารี เอ็ซเทท</v>
          </cell>
          <cell r="C464" t="str">
            <v>บจ.อมารี เอ็ซเทท</v>
          </cell>
          <cell r="D464" t="str">
            <v>Kbank</v>
          </cell>
          <cell r="E464" t="str">
            <v>764-2-07217-4</v>
          </cell>
        </row>
        <row r="465">
          <cell r="B465" t="str">
            <v>บจ.อวนไทย</v>
          </cell>
          <cell r="C465" t="str">
            <v>บจ.อวนไทย</v>
          </cell>
          <cell r="D465" t="str">
            <v>BBL</v>
          </cell>
          <cell r="E465" t="str">
            <v>139-3-06493-4</v>
          </cell>
        </row>
        <row r="466">
          <cell r="B466" t="str">
            <v xml:space="preserve">บจ.อวนไทย </v>
          </cell>
          <cell r="C466" t="str">
            <v>คุณเจริญ และ คุณจุรีย์ คุปต์สินชัย</v>
          </cell>
          <cell r="D466" t="str">
            <v>Kbank</v>
          </cell>
          <cell r="E466" t="str">
            <v>050-2-37765-5</v>
          </cell>
        </row>
        <row r="467">
          <cell r="B467" t="str">
            <v>บจ.อินเตอร์เนชั่นแนล คอนเน็ค เทรด</v>
          </cell>
          <cell r="C467" t="str">
            <v>บจ.อินเตอร์เนชั่นแนล คอนเน็ค เทรด</v>
          </cell>
          <cell r="D467" t="str">
            <v>Kbank</v>
          </cell>
          <cell r="E467" t="str">
            <v>730-2-26789-2</v>
          </cell>
        </row>
        <row r="468">
          <cell r="B468" t="str">
            <v>บจ.อินเทค</v>
          </cell>
          <cell r="C468" t="str">
            <v>คุณอาคม  นาคทอง</v>
          </cell>
          <cell r="D468" t="str">
            <v>Kbank</v>
          </cell>
          <cell r="E468" t="str">
            <v>734-2-34309-5</v>
          </cell>
        </row>
        <row r="469">
          <cell r="B469" t="str">
            <v>บจ.อีซูซุระนอง</v>
          </cell>
          <cell r="C469" t="str">
            <v>บจ.อีซูซุระนอง</v>
          </cell>
          <cell r="D469" t="str">
            <v>SCB</v>
          </cell>
          <cell r="E469" t="str">
            <v>581-2-08700-2</v>
          </cell>
        </row>
        <row r="470">
          <cell r="B470" t="str">
            <v>บจ.เอชพี วาล์ว(ประเทศไทย)</v>
          </cell>
          <cell r="C470" t="str">
            <v>บจ.เอชพี วาล์ว(ประเทศไทย)</v>
          </cell>
          <cell r="D470" t="str">
            <v>SCB</v>
          </cell>
          <cell r="E470" t="str">
            <v>316-4-07920-8</v>
          </cell>
        </row>
        <row r="471">
          <cell r="B471" t="str">
            <v>บจ.เอเชียเครื่องชั่ง</v>
          </cell>
          <cell r="C471" t="str">
            <v>คุณประมวน  เอกปัชชา</v>
          </cell>
          <cell r="D471" t="str">
            <v>SCB</v>
          </cell>
          <cell r="E471" t="str">
            <v>945-2-09885-7</v>
          </cell>
        </row>
        <row r="472">
          <cell r="B472" t="str">
            <v xml:space="preserve">บจ.เอเชียเครื่องชั่ง </v>
          </cell>
          <cell r="C472" t="str">
            <v xml:space="preserve">คุณประมวน  เอกปัชชา </v>
          </cell>
          <cell r="D472" t="str">
            <v>Kbank</v>
          </cell>
          <cell r="E472" t="str">
            <v>589-2-18793-4</v>
          </cell>
        </row>
        <row r="473">
          <cell r="B473" t="str">
            <v>บจ.เอส.อาร์.เจ โฟล์คลิฟท์</v>
          </cell>
          <cell r="C473" t="str">
            <v>คุณสุภา หรูพิทักษ์</v>
          </cell>
          <cell r="D473" t="str">
            <v>Kbank</v>
          </cell>
          <cell r="E473" t="str">
            <v>056-8-43179-0</v>
          </cell>
        </row>
        <row r="474">
          <cell r="B474" t="str">
            <v>บจ.เอสเคยูนิเวอร์เซล</v>
          </cell>
          <cell r="C474" t="str">
            <v>คุณศิรินทิพย์  คุณวัฒน์</v>
          </cell>
          <cell r="D474" t="str">
            <v>BBL</v>
          </cell>
          <cell r="E474" t="str">
            <v>245-0-51795-4</v>
          </cell>
        </row>
        <row r="475">
          <cell r="B475" t="str">
            <v xml:space="preserve">บจ.เอสเคยูนิเวอร์เซล </v>
          </cell>
          <cell r="C475" t="str">
            <v>บจ.เอสเคยูนิเวอร์เซล</v>
          </cell>
          <cell r="D475" t="str">
            <v>BBL</v>
          </cell>
          <cell r="E475" t="str">
            <v>151-3-07531-5</v>
          </cell>
        </row>
        <row r="476">
          <cell r="B476" t="str">
            <v>บจ.เอสซี เมทัล อินเตอร์กรุ๊ป</v>
          </cell>
          <cell r="C476" t="str">
            <v>บจ.เอสซี เมทัล อินเตอร์กรุ๊ป</v>
          </cell>
          <cell r="D476" t="str">
            <v>BAY</v>
          </cell>
          <cell r="E476" t="str">
            <v>038-1-29419-6</v>
          </cell>
        </row>
        <row r="477">
          <cell r="B477" t="str">
            <v>บจ.แอบปอน</v>
          </cell>
          <cell r="C477" t="str">
            <v>บจ.แอบปอน</v>
          </cell>
          <cell r="D477" t="str">
            <v>BBL</v>
          </cell>
          <cell r="E477" t="str">
            <v>001-3-30472-0</v>
          </cell>
        </row>
        <row r="478">
          <cell r="B478" t="str">
            <v>บจ.ไอทีซีฟิตติ้ง</v>
          </cell>
          <cell r="C478" t="str">
            <v>นายจักรกฤษณ์  อิทธิฤทธานนท์</v>
          </cell>
          <cell r="D478" t="str">
            <v>BBL</v>
          </cell>
          <cell r="E478" t="str">
            <v>048-0-29616-9</v>
          </cell>
        </row>
        <row r="479">
          <cell r="B479" t="str">
            <v>บจ.ไอทีซีฟิตติ้ง&amp;สตีล</v>
          </cell>
          <cell r="C479" t="str">
            <v>บจ.ไอทีซีฟิตติ้ง&amp;สตีล</v>
          </cell>
          <cell r="D479" t="str">
            <v>TTB</v>
          </cell>
          <cell r="E479" t="str">
            <v>016-2-43735-4</v>
          </cell>
        </row>
        <row r="480">
          <cell r="B480" t="str">
            <v>บจ.ไอแอนด์ยู อิเล็คทริค</v>
          </cell>
          <cell r="C480" t="str">
            <v>บจ.ไอแอนด์ยู อิเล็คทริค</v>
          </cell>
          <cell r="D480" t="str">
            <v>Kbank</v>
          </cell>
          <cell r="E480" t="str">
            <v>043-8-20141-6</v>
          </cell>
        </row>
        <row r="481">
          <cell r="B481" t="str">
            <v>บจ.ฮงเฮงฮวด</v>
          </cell>
          <cell r="C481" t="str">
            <v>คุณสุนีย์  ตกูลภักดีชุมพล</v>
          </cell>
          <cell r="D481" t="str">
            <v>Kbank</v>
          </cell>
          <cell r="E481" t="str">
            <v>011-2-52249-2</v>
          </cell>
        </row>
        <row r="482">
          <cell r="B482" t="str">
            <v>บจ.ฮั๋วเฮงหลี คอร์ปอเรชั่น</v>
          </cell>
          <cell r="C482" t="str">
            <v>บจ.ฮั๋วเฮงหลี คอร์ปอเรชั่น</v>
          </cell>
          <cell r="D482" t="str">
            <v>TTB</v>
          </cell>
          <cell r="E482" t="str">
            <v>799-1-00275-4</v>
          </cell>
        </row>
        <row r="483">
          <cell r="B483" t="str">
            <v>บจ.ฮาวเด้น แมกซี่ อินชัวรันส์ โบรกเกอร์</v>
          </cell>
          <cell r="C483" t="str">
            <v>บจ.ฮาวเด้น แมกซี่ อินชัวรันส์ โบรกเกอร์</v>
          </cell>
          <cell r="D483" t="str">
            <v>BBL</v>
          </cell>
          <cell r="E483" t="str">
            <v>181-4-83819-7</v>
          </cell>
        </row>
        <row r="484">
          <cell r="B484" t="str">
            <v xml:space="preserve">บจ.ฮาวเด้น แมกซี่ อินชัวรันส์ โบรกเกอร์ </v>
          </cell>
          <cell r="C484" t="str">
            <v xml:space="preserve">บจ.ฮาวเด้น แมกซี่ อินชัวรันส์ โบรกเกอร์ </v>
          </cell>
          <cell r="D484" t="str">
            <v>SCB</v>
          </cell>
          <cell r="E484" t="str">
            <v>010-4-32450-0</v>
          </cell>
        </row>
        <row r="485">
          <cell r="B485" t="str">
            <v>บมจ.กรุงเทพดุสิตเวชการ</v>
          </cell>
          <cell r="C485" t="str">
            <v>บมจ.กรุงเทพดุสิตเวชการ</v>
          </cell>
          <cell r="D485" t="str">
            <v>BBL</v>
          </cell>
          <cell r="E485" t="str">
            <v>215-0-32497-4</v>
          </cell>
        </row>
        <row r="486">
          <cell r="B486" t="str">
            <v>บมจ.เมืองไทยประกันชีวิต</v>
          </cell>
          <cell r="C486" t="str">
            <v>บมจ.เมืองไทยประกันชีวิต</v>
          </cell>
          <cell r="D486" t="str">
            <v>QR</v>
          </cell>
          <cell r="E486" t="str">
            <v>QR Code</v>
          </cell>
        </row>
        <row r="487">
          <cell r="B487" t="str">
            <v>บ่อน้ำโกแดง</v>
          </cell>
          <cell r="C487" t="str">
            <v>นายบุญรัตน์  สิงโต</v>
          </cell>
          <cell r="D487" t="str">
            <v>Kbank</v>
          </cell>
          <cell r="E487" t="str">
            <v>063-8-84844-9</v>
          </cell>
        </row>
        <row r="488">
          <cell r="B488" t="str">
            <v>บ่อน้ำจิ้นเห้ง</v>
          </cell>
          <cell r="C488" t="str">
            <v>น.ส.กัญญศร  นิรามิษ</v>
          </cell>
          <cell r="D488" t="str">
            <v>Kbank</v>
          </cell>
          <cell r="E488" t="str">
            <v>064-3-19566-6</v>
          </cell>
        </row>
        <row r="489">
          <cell r="B489" t="str">
            <v>บ่อน้ำตาอิน</v>
          </cell>
          <cell r="C489" t="str">
            <v>คุณวิวดี  ชมทอง</v>
          </cell>
          <cell r="D489" t="str">
            <v>TTB</v>
          </cell>
          <cell r="E489" t="str">
            <v>429-2-36373-8</v>
          </cell>
        </row>
        <row r="490">
          <cell r="B490" t="str">
            <v xml:space="preserve">บ่อน้ำตาอิน </v>
          </cell>
          <cell r="C490" t="str">
            <v>น.ส.วิวดี  ชมทอง</v>
          </cell>
          <cell r="D490" t="str">
            <v>TTB</v>
          </cell>
          <cell r="E490" t="str">
            <v>791-2-08854-4</v>
          </cell>
        </row>
        <row r="491">
          <cell r="B491" t="str">
            <v>บิ๋น</v>
          </cell>
          <cell r="C491" t="str">
            <v>นายณัฐพล  โพธิ์ทอง</v>
          </cell>
          <cell r="D491" t="str">
            <v>SCB</v>
          </cell>
          <cell r="E491" t="str">
            <v>408-1-71574-5</v>
          </cell>
        </row>
        <row r="492">
          <cell r="B492" t="str">
            <v>ป.เจริญชัยเทรดดิ้ง</v>
          </cell>
          <cell r="C492" t="str">
            <v>คุณประเสริฐ เหลืองวัชรกุล</v>
          </cell>
          <cell r="D492" t="str">
            <v>BBL</v>
          </cell>
          <cell r="E492" t="str">
            <v>186-0-43834-8</v>
          </cell>
        </row>
        <row r="493">
          <cell r="B493" t="str">
            <v>ปป. ภาค8</v>
          </cell>
          <cell r="C493" t="str">
            <v>นายบรรจบ  วรรญเวก</v>
          </cell>
          <cell r="D493" t="str">
            <v>Kbank</v>
          </cell>
          <cell r="E493" t="str">
            <v>014-2-79682-1</v>
          </cell>
        </row>
        <row r="494">
          <cell r="B494" t="str">
            <v>ปป.ภาค  8</v>
          </cell>
          <cell r="C494" t="str">
            <v>นายณฤพงศ์ ศรัทธาสุข</v>
          </cell>
          <cell r="D494" t="str">
            <v>SCB</v>
          </cell>
          <cell r="E494" t="str">
            <v>612-2-47886-8</v>
          </cell>
        </row>
        <row r="495">
          <cell r="B495" t="str">
            <v>ปป.ภาค 8</v>
          </cell>
          <cell r="C495" t="str">
            <v>นายประเสริฐ   เภาโบรมย์</v>
          </cell>
          <cell r="D495" t="str">
            <v>Kbank</v>
          </cell>
          <cell r="E495" t="str">
            <v>128-1-95951-0</v>
          </cell>
        </row>
        <row r="496">
          <cell r="B496" t="str">
            <v>ปป.ภาค8</v>
          </cell>
          <cell r="C496" t="str">
            <v>นายพงศ์วิวัฒน์  ทองจันทร์</v>
          </cell>
          <cell r="D496" t="str">
            <v>SCB</v>
          </cell>
          <cell r="E496" t="str">
            <v>612-2-47597-5</v>
          </cell>
        </row>
        <row r="497">
          <cell r="B497" t="str">
            <v>ประมงภัณฑ์</v>
          </cell>
          <cell r="C497" t="str">
            <v>นายชาญชัย  ธนาชีวิต</v>
          </cell>
          <cell r="D497" t="str">
            <v>SCB</v>
          </cell>
          <cell r="E497" t="str">
            <v>468-0-56166-6</v>
          </cell>
        </row>
        <row r="498">
          <cell r="B498" t="str">
            <v>ประยุทธ์</v>
          </cell>
          <cell r="C498" t="str">
            <v>นายประยุทธ์ ผลสด</v>
          </cell>
          <cell r="D498" t="str">
            <v>Kbank</v>
          </cell>
          <cell r="E498" t="str">
            <v>019-3-58194-3</v>
          </cell>
        </row>
        <row r="499">
          <cell r="B499" t="str">
            <v>ประสงค์ โตวัฒนา</v>
          </cell>
          <cell r="C499" t="str">
            <v>นายประสงค์ โตวัฒนา</v>
          </cell>
          <cell r="D499" t="str">
            <v>SCB</v>
          </cell>
          <cell r="E499" t="str">
            <v>515-2-60128-1</v>
          </cell>
        </row>
        <row r="500">
          <cell r="B500" t="str">
            <v>ปั้มตันปุ้น</v>
          </cell>
          <cell r="C500" t="str">
            <v>หจก.ตันปุ้นระนอง</v>
          </cell>
          <cell r="D500" t="str">
            <v>BBL</v>
          </cell>
          <cell r="E500" t="str">
            <v>527-014784-5</v>
          </cell>
        </row>
        <row r="501">
          <cell r="B501" t="str">
            <v>ปั้มตันปุ้น.</v>
          </cell>
          <cell r="C501" t="str">
            <v>หจก.ตันปุ้นระนอง.</v>
          </cell>
          <cell r="D501" t="str">
            <v>Kbank</v>
          </cell>
          <cell r="E501" t="str">
            <v>061-8-16332-6</v>
          </cell>
        </row>
        <row r="502">
          <cell r="B502" t="str">
            <v>ผู้การปริญญา</v>
          </cell>
          <cell r="C502" t="str">
            <v>พลตำรวจตรีปริญญา ขวัญยืน</v>
          </cell>
          <cell r="D502" t="str">
            <v>SCB</v>
          </cell>
          <cell r="E502" t="str">
            <v>581-2-18700-6</v>
          </cell>
        </row>
        <row r="503">
          <cell r="B503" t="str">
            <v>พ.เจริญยนต์</v>
          </cell>
          <cell r="C503" t="str">
            <v>นายนิพนธ์ ยินดีอนันต์</v>
          </cell>
          <cell r="D503" t="str">
            <v>BAY</v>
          </cell>
          <cell r="E503" t="str">
            <v>161-1-14220-6</v>
          </cell>
        </row>
        <row r="504">
          <cell r="B504" t="str">
            <v>พ.ต.อ.ภคยศ ทนงศักดิ์</v>
          </cell>
          <cell r="C504" t="str">
            <v>พ.ต.อ.ภคยศ ทนงศักดิ์</v>
          </cell>
          <cell r="D504" t="str">
            <v>KTB</v>
          </cell>
          <cell r="E504" t="str">
            <v>806-0-72518-1</v>
          </cell>
        </row>
        <row r="505">
          <cell r="B505" t="str">
            <v>พรชัยอะไหล่</v>
          </cell>
          <cell r="C505" t="str">
            <v>นายวันชัย  เต็มอุดมภาค</v>
          </cell>
          <cell r="D505" t="str">
            <v>Kbank</v>
          </cell>
          <cell r="E505" t="str">
            <v>460-2-03868-3</v>
          </cell>
        </row>
        <row r="506">
          <cell r="B506" t="str">
            <v>พรรณแก้ว(ขนส่ง).</v>
          </cell>
          <cell r="C506" t="str">
            <v>พรรณแก้ว มีสุข</v>
          </cell>
          <cell r="D506" t="str">
            <v>Kbank</v>
          </cell>
          <cell r="E506" t="str">
            <v>232-1-03444-9</v>
          </cell>
        </row>
        <row r="507">
          <cell r="B507" t="str">
            <v>พัฒนกิจ</v>
          </cell>
          <cell r="C507" t="str">
            <v>นายวัลลภ  ปันฉิม</v>
          </cell>
          <cell r="D507" t="str">
            <v>Kbank</v>
          </cell>
          <cell r="E507" t="str">
            <v>019-1-33310-1</v>
          </cell>
        </row>
        <row r="508">
          <cell r="B508" t="str">
            <v>พัฒนาภัณฑ์อีเล็คทริค</v>
          </cell>
          <cell r="C508" t="str">
            <v>หจก.พัฒนาภัณฑ์อีเล็คทริค</v>
          </cell>
          <cell r="D508" t="str">
            <v>SCB</v>
          </cell>
          <cell r="E508" t="str">
            <v>581-2-31339-8</v>
          </cell>
        </row>
        <row r="509">
          <cell r="B509" t="str">
            <v>พี่ชาญ</v>
          </cell>
          <cell r="C509" t="str">
            <v>นายภูริวัฒน์  บุญเอื้อ</v>
          </cell>
          <cell r="D509" t="str">
            <v>BBL</v>
          </cell>
          <cell r="E509" t="str">
            <v>527-0-25334-6</v>
          </cell>
        </row>
        <row r="510">
          <cell r="B510" t="str">
            <v>พี่ตั้ม</v>
          </cell>
          <cell r="C510" t="str">
            <v>นายสุรวุฒิ รัตนดิลก ณ ภูเก็ต</v>
          </cell>
          <cell r="D510" t="str">
            <v>Kbank</v>
          </cell>
          <cell r="E510" t="str">
            <v>232-2-29589-0</v>
          </cell>
        </row>
        <row r="511">
          <cell r="B511" t="str">
            <v>พี่ธงชัย</v>
          </cell>
          <cell r="C511" t="str">
            <v>นายธงชัย  ชุมเกื้อ</v>
          </cell>
          <cell r="D511" t="str">
            <v>Kbank</v>
          </cell>
          <cell r="E511" t="str">
            <v>054-3-60753-3</v>
          </cell>
        </row>
        <row r="512">
          <cell r="B512" t="str">
            <v>พี่น้องอะไหล่</v>
          </cell>
          <cell r="C512" t="str">
            <v>คุณณัฐชยา  ดู่ป้อง</v>
          </cell>
          <cell r="D512" t="str">
            <v>BAY</v>
          </cell>
          <cell r="E512" t="str">
            <v>088-1-78751-2</v>
          </cell>
        </row>
        <row r="513">
          <cell r="B513" t="str">
            <v xml:space="preserve">พี่น้องอะไหล่ </v>
          </cell>
          <cell r="C513" t="str">
            <v>คุณภูวดล  พุทธสำราญ</v>
          </cell>
          <cell r="D513" t="str">
            <v>BAY</v>
          </cell>
          <cell r="E513" t="str">
            <v>777-9-23999-7</v>
          </cell>
        </row>
        <row r="514">
          <cell r="B514" t="str">
            <v>พี่เบิ้ล</v>
          </cell>
          <cell r="C514" t="str">
            <v>นายกิตติพงษ์  กุลฐิติกิจ</v>
          </cell>
          <cell r="D514" t="str">
            <v>BBL</v>
          </cell>
          <cell r="E514" t="str">
            <v>527-0-10108-1</v>
          </cell>
        </row>
        <row r="515">
          <cell r="B515" t="str">
            <v xml:space="preserve">พี่เบิ้ล </v>
          </cell>
          <cell r="C515" t="str">
            <v xml:space="preserve">นายกิตติพงษ์  กุลฐิติกิจ </v>
          </cell>
          <cell r="D515" t="str">
            <v>BBL</v>
          </cell>
          <cell r="E515" t="str">
            <v>527-0-26183-6</v>
          </cell>
        </row>
        <row r="516">
          <cell r="B516" t="str">
            <v>พี่ยอด (1)</v>
          </cell>
          <cell r="C516" t="str">
            <v>นายทวีศักดิ์  ผลดี</v>
          </cell>
          <cell r="D516" t="str">
            <v>SCB</v>
          </cell>
          <cell r="E516" t="str">
            <v>302-2-80490-9</v>
          </cell>
        </row>
        <row r="517">
          <cell r="B517" t="str">
            <v>พี่ยอด (2)</v>
          </cell>
          <cell r="C517" t="str">
            <v>นายชัยยันต์  ผลดี</v>
          </cell>
          <cell r="D517" t="str">
            <v>SCB</v>
          </cell>
          <cell r="E517" t="str">
            <v>401-3-67833-3</v>
          </cell>
        </row>
        <row r="518">
          <cell r="B518" t="str">
            <v>พี่ยอด (3)</v>
          </cell>
          <cell r="C518" t="str">
            <v>น.ส.ดารารัตน์  ผลดี</v>
          </cell>
          <cell r="D518" t="str">
            <v>BBL</v>
          </cell>
          <cell r="E518" t="str">
            <v>291-0-95135-5</v>
          </cell>
        </row>
        <row r="519">
          <cell r="B519" t="str">
            <v>พี่วิช</v>
          </cell>
          <cell r="C519" t="str">
            <v>นายวิทยา  จันทร์สาคร</v>
          </cell>
          <cell r="D519" t="str">
            <v>SCB</v>
          </cell>
          <cell r="E519" t="str">
            <v>581-2-30183-8</v>
          </cell>
        </row>
        <row r="520">
          <cell r="B520" t="str">
            <v>พี่สมชาย</v>
          </cell>
          <cell r="C520" t="str">
            <v>นายสมชาย มานะพิทักษ์พงษ์</v>
          </cell>
          <cell r="D520" t="str">
            <v>SCB</v>
          </cell>
          <cell r="E520" t="str">
            <v>281-2-68060-8</v>
          </cell>
        </row>
        <row r="521">
          <cell r="B521" t="str">
            <v xml:space="preserve">พี่สมชาย </v>
          </cell>
          <cell r="C521" t="str">
            <v>นายสมชาย  มานะพิทักษ์พงษ์</v>
          </cell>
          <cell r="D521" t="str">
            <v>BBL</v>
          </cell>
          <cell r="E521" t="str">
            <v>911-0-01462-9</v>
          </cell>
        </row>
        <row r="522">
          <cell r="B522" t="str">
            <v>พี่สาโรจน์</v>
          </cell>
          <cell r="C522" t="str">
            <v>นายสาโรจน์  จินดาพรหม</v>
          </cell>
          <cell r="D522" t="str">
            <v>SCB</v>
          </cell>
          <cell r="E522" t="str">
            <v>402-7-96663-9</v>
          </cell>
        </row>
        <row r="523">
          <cell r="B523" t="str">
            <v>พี่สาวโกจ่อจ่อ</v>
          </cell>
          <cell r="C523" t="str">
            <v>MS TIN TIN AYE</v>
          </cell>
          <cell r="D523" t="str">
            <v>BBL</v>
          </cell>
          <cell r="E523" t="str">
            <v>106-4-31039-2</v>
          </cell>
        </row>
        <row r="524">
          <cell r="B524" t="str">
            <v>พี่สุ(MAX OFF)</v>
          </cell>
          <cell r="C524" t="str">
            <v>สุธาทิพย์ ผุยทุอา</v>
          </cell>
          <cell r="D524" t="str">
            <v>SCB</v>
          </cell>
          <cell r="E524" t="str">
            <v>407-0-56395-1</v>
          </cell>
        </row>
        <row r="525">
          <cell r="B525" t="str">
            <v>พี่เสง</v>
          </cell>
          <cell r="C525" t="str">
            <v>นายปิยวุฒิ ลิ่มศิลา</v>
          </cell>
          <cell r="D525" t="str">
            <v>Kbank</v>
          </cell>
          <cell r="E525" t="str">
            <v>460-2-07403-5</v>
          </cell>
        </row>
        <row r="526">
          <cell r="B526" t="str">
            <v>พี่เสริฐ</v>
          </cell>
          <cell r="C526" t="str">
            <v>นายประเสริฐ อุเสน</v>
          </cell>
          <cell r="D526" t="str">
            <v>BBL</v>
          </cell>
          <cell r="E526" t="str">
            <v>527-0-14931-2</v>
          </cell>
        </row>
        <row r="527">
          <cell r="B527" t="str">
            <v>พี่หมู</v>
          </cell>
          <cell r="C527" t="str">
            <v>นายวีระวัฒน์ แก้วนิ่ม</v>
          </cell>
          <cell r="D527" t="str">
            <v>P-Pay</v>
          </cell>
          <cell r="E527" t="str">
            <v>083-876-8511</v>
          </cell>
        </row>
        <row r="528">
          <cell r="B528" t="str">
            <v>พี่อี๊ด</v>
          </cell>
          <cell r="C528" t="str">
            <v>นางศตพร พิมแช่ม</v>
          </cell>
          <cell r="D528" t="str">
            <v>SCB</v>
          </cell>
          <cell r="E528" t="str">
            <v>402-7-92835-6</v>
          </cell>
        </row>
        <row r="529">
          <cell r="B529" t="str">
            <v xml:space="preserve">พี่อี๊ด </v>
          </cell>
          <cell r="C529" t="str">
            <v>นางศตพร  พิมแช่ม</v>
          </cell>
          <cell r="D529" t="str">
            <v>BBL</v>
          </cell>
          <cell r="E529" t="str">
            <v>527-0-14949-4</v>
          </cell>
        </row>
        <row r="530">
          <cell r="B530" t="str">
            <v>พี่โอ๋</v>
          </cell>
          <cell r="C530" t="str">
            <v>น.ส.โสรญา  เรืองฤทธิ์</v>
          </cell>
          <cell r="D530" t="str">
            <v>BBL</v>
          </cell>
          <cell r="E530" t="str">
            <v>527-0-17988-9</v>
          </cell>
        </row>
        <row r="531">
          <cell r="B531" t="str">
            <v>พูนทรัพย์</v>
          </cell>
          <cell r="C531" t="str">
            <v>นายศุภชัย ใสสอาด</v>
          </cell>
          <cell r="D531" t="str">
            <v>BBL</v>
          </cell>
          <cell r="E531" t="str">
            <v>527-0-26845-0</v>
          </cell>
        </row>
        <row r="532">
          <cell r="B532" t="str">
            <v>แฟนโกหย่ง</v>
          </cell>
          <cell r="C532" t="str">
            <v>MRS. THI THI HTWE</v>
          </cell>
          <cell r="D532" t="str">
            <v>BBL</v>
          </cell>
          <cell r="E532" t="str">
            <v>101-7-91365-6</v>
          </cell>
        </row>
        <row r="533">
          <cell r="B533" t="str">
            <v>ภูวเดชอ๊อกซิเจน</v>
          </cell>
          <cell r="C533" t="str">
            <v>นายภูวเดช   วีรสถาพร</v>
          </cell>
          <cell r="D533" t="str">
            <v>Kbank</v>
          </cell>
          <cell r="E533" t="str">
            <v xml:space="preserve">460-2-06034-4  </v>
          </cell>
        </row>
        <row r="534">
          <cell r="B534" t="str">
            <v>มงคลพรหมระนอง</v>
          </cell>
          <cell r="C534" t="str">
            <v>นายปพนพรหม  รุจินิรันดร์</v>
          </cell>
          <cell r="D534" t="str">
            <v>BBL</v>
          </cell>
          <cell r="E534" t="str">
            <v>291-0-78656-1</v>
          </cell>
        </row>
        <row r="535">
          <cell r="B535" t="str">
            <v xml:space="preserve">มงคลพรหมระนอง </v>
          </cell>
          <cell r="C535" t="str">
            <v>หจก.มงคลพรหมระนอง</v>
          </cell>
          <cell r="D535" t="str">
            <v>อิสลาม</v>
          </cell>
          <cell r="E535" t="str">
            <v>064-6-00013-6</v>
          </cell>
        </row>
        <row r="536">
          <cell r="B536" t="str">
            <v>มะขามภูทับเบิก เซอร์วิส</v>
          </cell>
          <cell r="C536" t="str">
            <v>นายวินัยธร  บริบูรณ์</v>
          </cell>
          <cell r="D536" t="str">
            <v>Kbank</v>
          </cell>
          <cell r="E536" t="str">
            <v>012-8-20648-5</v>
          </cell>
        </row>
        <row r="537">
          <cell r="B537" t="str">
            <v>มานิตย์ระนองการเกษตร KBank</v>
          </cell>
          <cell r="C537" t="str">
            <v>คุณกุลนิษฐ์   ตันกุลธร</v>
          </cell>
          <cell r="D537" t="str">
            <v>Kbank</v>
          </cell>
          <cell r="E537" t="str">
            <v>232-2-27286-6</v>
          </cell>
        </row>
        <row r="538">
          <cell r="B538" t="str">
            <v>มานิตย์ระนองการเกษตร SCB</v>
          </cell>
          <cell r="C538" t="str">
            <v>คุณกุลนิษฐ์  ตันกุลธร</v>
          </cell>
          <cell r="D538" t="str">
            <v>SCB</v>
          </cell>
          <cell r="E538" t="str">
            <v>581-2-35944-1</v>
          </cell>
        </row>
        <row r="539">
          <cell r="B539" t="str">
            <v>มุกอะไหล่</v>
          </cell>
          <cell r="C539" t="str">
            <v>น.ส.วนิดา  แซ่ภู่</v>
          </cell>
          <cell r="D539" t="str">
            <v>BBL</v>
          </cell>
          <cell r="E539" t="str">
            <v>527-0-26373-3</v>
          </cell>
        </row>
        <row r="540">
          <cell r="B540" t="str">
            <v xml:space="preserve">มุกอะไหล่ </v>
          </cell>
          <cell r="C540" t="str">
            <v xml:space="preserve">น.ส.วนิดา  แซ่ภู่ </v>
          </cell>
          <cell r="D540" t="str">
            <v>SCB</v>
          </cell>
          <cell r="E540" t="str">
            <v>403-9-44593-8</v>
          </cell>
        </row>
        <row r="541">
          <cell r="B541" t="str">
            <v xml:space="preserve">มูลนิธิโรงเจเต๋าบ้อเก็ง </v>
          </cell>
          <cell r="C541" t="str">
            <v xml:space="preserve">มูลนิธิโรงเจเต๋าบ้อเก็ง </v>
          </cell>
          <cell r="D541" t="str">
            <v>Kbank</v>
          </cell>
          <cell r="E541" t="str">
            <v>553-2-11391-3</v>
          </cell>
        </row>
        <row r="542">
          <cell r="B542" t="str">
            <v>ยี่เหลง</v>
          </cell>
          <cell r="C542" t="str">
            <v>น.ส.เจษฎา ลิ่มศิลา</v>
          </cell>
          <cell r="D542" t="str">
            <v>BBL</v>
          </cell>
          <cell r="E542" t="str">
            <v>870-7-02587-3</v>
          </cell>
        </row>
        <row r="543">
          <cell r="B543" t="str">
            <v>ยี่เอ้ง</v>
          </cell>
          <cell r="C543" t="str">
            <v>น.ส.วลีวรรณ  เพชรไฝ</v>
          </cell>
          <cell r="D543" t="str">
            <v>BBL</v>
          </cell>
          <cell r="E543" t="str">
            <v>180-7-05838-1</v>
          </cell>
        </row>
        <row r="544">
          <cell r="B544" t="str">
            <v>ร.อ.ปรีชา  น้อยกาญจนะ</v>
          </cell>
          <cell r="C544" t="str">
            <v>ร.อ.ปรีชา  น้อยกาญจนะ</v>
          </cell>
          <cell r="D544" t="str">
            <v>P-Pay</v>
          </cell>
          <cell r="E544" t="str">
            <v>092-273-6548</v>
          </cell>
        </row>
        <row r="545">
          <cell r="B545" t="str">
            <v>รร.น้ำใสเขาสวย</v>
          </cell>
          <cell r="C545" t="str">
            <v>นางจีระวรรณ  เศวตะดุล</v>
          </cell>
          <cell r="D545" t="str">
            <v>QR</v>
          </cell>
          <cell r="E545" t="str">
            <v>084-249-6959</v>
          </cell>
        </row>
        <row r="546">
          <cell r="B546" t="str">
            <v>รวย รวย บริการ</v>
          </cell>
          <cell r="C546" t="str">
            <v>โดยนายเมธา วงษ์นิติรัตน์</v>
          </cell>
          <cell r="D546" t="str">
            <v>Kbank</v>
          </cell>
          <cell r="E546" t="str">
            <v>113-2-26213-2</v>
          </cell>
        </row>
        <row r="547">
          <cell r="B547" t="str">
            <v xml:space="preserve">รวย รวย บริการ </v>
          </cell>
          <cell r="C547" t="str">
            <v>นายเมธา วงษ์นิติรัตน์</v>
          </cell>
          <cell r="D547" t="str">
            <v>BBL</v>
          </cell>
          <cell r="E547" t="str">
            <v>534-0-06188-5</v>
          </cell>
        </row>
        <row r="548">
          <cell r="B548" t="str">
            <v>ระนองแก๊ส</v>
          </cell>
          <cell r="C548" t="str">
            <v>คุณจุฑามณี  ยอดแก้ว</v>
          </cell>
          <cell r="D548" t="str">
            <v>SCB</v>
          </cell>
          <cell r="E548" t="str">
            <v>581-2-13173-8</v>
          </cell>
        </row>
        <row r="549">
          <cell r="B549" t="str">
            <v>ระนองเคหะภัณฑ์</v>
          </cell>
          <cell r="C549" t="str">
            <v>ระนองเคหะภัณฑ์</v>
          </cell>
          <cell r="D549" t="str">
            <v>Kbank</v>
          </cell>
          <cell r="E549" t="str">
            <v>232-2-22624-4</v>
          </cell>
        </row>
        <row r="550">
          <cell r="B550" t="str">
            <v>ระนองช่างเจียร์</v>
          </cell>
          <cell r="C550" t="str">
            <v>คุณทนงค์  สุขสวัสดิ์</v>
          </cell>
          <cell r="D550" t="str">
            <v>BBL</v>
          </cell>
          <cell r="E550" t="str">
            <v>527-0-21770-5</v>
          </cell>
        </row>
        <row r="551">
          <cell r="B551" t="str">
            <v>ระนองใบจักร</v>
          </cell>
          <cell r="C551" t="str">
            <v>นายฐาเดช ก้องพัฒนางกูร</v>
          </cell>
          <cell r="D551" t="str">
            <v>Kbank</v>
          </cell>
          <cell r="E551" t="str">
            <v>232-2-37294-1</v>
          </cell>
        </row>
        <row r="552">
          <cell r="B552" t="str">
            <v xml:space="preserve">ระนองใบจักร </v>
          </cell>
          <cell r="C552" t="str">
            <v>นายฐาเดช  ก้องพัฒนางกูร</v>
          </cell>
          <cell r="D552" t="str">
            <v>BBL</v>
          </cell>
          <cell r="E552" t="str">
            <v>291-0-70288-1</v>
          </cell>
        </row>
        <row r="553">
          <cell r="B553" t="str">
            <v>ระนองลิเดอร์</v>
          </cell>
          <cell r="C553" t="str">
            <v>นางสาวิตรี ตั๋นกุญชร</v>
          </cell>
          <cell r="D553" t="str">
            <v>BBL</v>
          </cell>
          <cell r="E553" t="str">
            <v>527-0-17847-7</v>
          </cell>
        </row>
        <row r="554">
          <cell r="B554" t="str">
            <v xml:space="preserve">ระนองลิเดอร์ </v>
          </cell>
          <cell r="C554" t="str">
            <v>นางสาวิตรี  ตั๋นกุญชร</v>
          </cell>
          <cell r="D554" t="str">
            <v>BAY</v>
          </cell>
          <cell r="E554" t="str">
            <v>161-1-42707-6</v>
          </cell>
        </row>
        <row r="555">
          <cell r="B555" t="str">
            <v>ระนองลิเดอร์(โกเสียง)</v>
          </cell>
          <cell r="C555" t="str">
            <v>นายไพทูลย์ ตั๋นกุญชร</v>
          </cell>
          <cell r="D555" t="str">
            <v>BBL</v>
          </cell>
          <cell r="E555" t="str">
            <v>527-0-18032-5</v>
          </cell>
        </row>
        <row r="556">
          <cell r="B556" t="str">
            <v>ระนองออฟเซ็ท</v>
          </cell>
          <cell r="C556" t="str">
            <v>นายพงศ์พันธ์  จันทร์บูรณะศิริ</v>
          </cell>
          <cell r="D556" t="str">
            <v>GSB</v>
          </cell>
          <cell r="E556" t="str">
            <v>020-2-2015571-5</v>
          </cell>
        </row>
        <row r="557">
          <cell r="B557" t="str">
            <v>ระนองแฮดเดอร์</v>
          </cell>
          <cell r="C557" t="str">
            <v>นายชัยวัฒน์  รักเจริญกิจวิโชติ</v>
          </cell>
          <cell r="D557" t="str">
            <v>Kbank</v>
          </cell>
          <cell r="E557" t="str">
            <v>232-1-04085-6</v>
          </cell>
        </row>
        <row r="558">
          <cell r="B558" t="str">
            <v>รัตนการพิมพ์</v>
          </cell>
          <cell r="C558" t="str">
            <v>คุณศศิกานต์  รัตนดิลก ณ ภูเก็ต</v>
          </cell>
          <cell r="D558" t="str">
            <v>SCB</v>
          </cell>
          <cell r="E558" t="str">
            <v>581-2-14282-8</v>
          </cell>
        </row>
        <row r="559">
          <cell r="B559" t="str">
            <v>รัตนรังสรรค์เทรล โดยร.25 พัน2</v>
          </cell>
          <cell r="C559" t="str">
            <v>รัตนรังสรรค์เทรล โดยร.25 พัน2</v>
          </cell>
          <cell r="D559" t="str">
            <v>QR</v>
          </cell>
          <cell r="E559" t="str">
            <v>QR Code</v>
          </cell>
        </row>
        <row r="560">
          <cell r="B560" t="str">
            <v>ร้านขายไก่</v>
          </cell>
          <cell r="C560" t="str">
            <v>นางเสาวนีย์  นาคสวัสดิ์</v>
          </cell>
          <cell r="D560" t="str">
            <v>SCB</v>
          </cell>
          <cell r="E560" t="str">
            <v>581-3-02267-3</v>
          </cell>
        </row>
        <row r="561">
          <cell r="B561" t="str">
            <v>ร้านขายผลไม้</v>
          </cell>
          <cell r="C561" t="str">
            <v>นายชัยสิทธิ์  จันทร์ศิริ</v>
          </cell>
          <cell r="D561" t="str">
            <v>BBL</v>
          </cell>
          <cell r="E561" t="str">
            <v>291-0-85766-9</v>
          </cell>
        </row>
        <row r="562">
          <cell r="B562" t="str">
            <v>ร้านขายผัก</v>
          </cell>
          <cell r="C562" t="str">
            <v>น.ส.ละออง ขุนทิพย์</v>
          </cell>
          <cell r="D562" t="str">
            <v>KTB</v>
          </cell>
          <cell r="E562" t="str">
            <v>361-0-274549</v>
          </cell>
        </row>
        <row r="563">
          <cell r="B563" t="str">
            <v>ร้านขายมาม่า</v>
          </cell>
          <cell r="C563" t="str">
            <v>น.ส.นิตย์ชนก  อำพันธุ์สุข</v>
          </cell>
          <cell r="D563" t="str">
            <v>SCB</v>
          </cell>
          <cell r="E563" t="str">
            <v>581-2-25366-1</v>
          </cell>
        </row>
        <row r="564">
          <cell r="B564" t="str">
            <v>ร้านจ๊ะเอ๋</v>
          </cell>
          <cell r="C564" t="str">
            <v>นางศิริพร  กิตติโสภณกุล</v>
          </cell>
          <cell r="D564" t="str">
            <v>Kbank</v>
          </cell>
          <cell r="E564" t="str">
            <v>007-1-90064-9</v>
          </cell>
        </row>
        <row r="565">
          <cell r="B565" t="str">
            <v xml:space="preserve">ร้านจ๊ะเอ๋ </v>
          </cell>
          <cell r="C565" t="str">
            <v>นายขจรยศ จองลิขิต</v>
          </cell>
          <cell r="D565" t="str">
            <v>Kbank</v>
          </cell>
          <cell r="E565" t="str">
            <v>036-8-37918-2</v>
          </cell>
        </row>
        <row r="566">
          <cell r="B566" t="str">
            <v xml:space="preserve">ร้านจ๊ะเอ๋  </v>
          </cell>
          <cell r="C566" t="str">
            <v>นายขจรยศ  จองลิขิต</v>
          </cell>
          <cell r="D566" t="str">
            <v>BBL</v>
          </cell>
          <cell r="E566" t="str">
            <v>527-0-24243-0</v>
          </cell>
        </row>
        <row r="567">
          <cell r="B567" t="str">
            <v>ร้านจ๊ะเอ๋.</v>
          </cell>
          <cell r="C567" t="str">
            <v xml:space="preserve">นายขจรยศ  จองลิขิต </v>
          </cell>
          <cell r="D567" t="str">
            <v>SCB</v>
          </cell>
          <cell r="E567" t="str">
            <v>405-1-38355-2</v>
          </cell>
        </row>
        <row r="568">
          <cell r="B568" t="str">
            <v>ร้านช่างนาย</v>
          </cell>
          <cell r="C568" t="str">
            <v>นายวรเดช  ยอดบุนอก</v>
          </cell>
          <cell r="D568" t="str">
            <v>TTB</v>
          </cell>
          <cell r="E568" t="str">
            <v>429-2-40905-1</v>
          </cell>
        </row>
        <row r="569">
          <cell r="B569" t="str">
            <v>ร้านช่างนาย.</v>
          </cell>
          <cell r="C569" t="str">
            <v>นายวรเดช ยอดบุนอก</v>
          </cell>
          <cell r="D569" t="str">
            <v>BBL</v>
          </cell>
          <cell r="E569" t="str">
            <v>527-0-25997-0</v>
          </cell>
        </row>
        <row r="570">
          <cell r="B570" t="str">
            <v xml:space="preserve">ร้านดวงดี  </v>
          </cell>
          <cell r="C570" t="str">
            <v>นายอัฐพงษ์ อัครจิตตานนท์</v>
          </cell>
          <cell r="D570" t="str">
            <v>Kbank</v>
          </cell>
          <cell r="E570" t="str">
            <v>163-3-30118-9</v>
          </cell>
        </row>
        <row r="571">
          <cell r="B571" t="str">
            <v>ร้านดวงดี</v>
          </cell>
          <cell r="C571" t="str">
            <v>นายอัฐพงษ์  อัครจิตตานนท์</v>
          </cell>
          <cell r="D571" t="str">
            <v>Kbank</v>
          </cell>
          <cell r="E571" t="str">
            <v>232-2-21666-4</v>
          </cell>
        </row>
        <row r="572">
          <cell r="B572" t="str">
            <v xml:space="preserve">ร้านดวงดี </v>
          </cell>
          <cell r="C572" t="str">
            <v>นายอัฐพงษ์   อัครจิตตานนท์</v>
          </cell>
          <cell r="D572" t="str">
            <v>SCB</v>
          </cell>
          <cell r="E572" t="str">
            <v>403-4-53542-9</v>
          </cell>
        </row>
        <row r="573">
          <cell r="B573" t="str">
            <v>ร้านดี.บี.แมชชีน</v>
          </cell>
          <cell r="C573" t="str">
            <v>ร้านดี.บี.แมชชีนโดยนายวิโรจน์ โสตถินิรันดร</v>
          </cell>
          <cell r="D573" t="str">
            <v>Kbank</v>
          </cell>
          <cell r="E573" t="str">
            <v>008-3-31616-0</v>
          </cell>
        </row>
        <row r="574">
          <cell r="B574" t="str">
            <v>ร้านนพคุณดีเซล</v>
          </cell>
          <cell r="C574" t="str">
            <v>คุณจีรวรรณ  เพ็ชรวงศ์</v>
          </cell>
          <cell r="D574" t="str">
            <v>Kbank</v>
          </cell>
          <cell r="E574" t="str">
            <v>113-2-36854-2</v>
          </cell>
        </row>
        <row r="575">
          <cell r="B575" t="str">
            <v>ร้านเพื่อนอิเล็กทรอนิกส์</v>
          </cell>
          <cell r="C575" t="str">
            <v>นายประจวบ จินดาพงษ์</v>
          </cell>
          <cell r="D575" t="str">
            <v>SCB</v>
          </cell>
          <cell r="E575" t="str">
            <v>402-8-15902-3</v>
          </cell>
        </row>
        <row r="576">
          <cell r="B576" t="str">
            <v>ร้านแฟ้บ</v>
          </cell>
          <cell r="C576" t="str">
            <v>น.ส.นิตย์ชนก อำพันธุ์สุข</v>
          </cell>
          <cell r="D576" t="str">
            <v>SCB</v>
          </cell>
          <cell r="E576" t="str">
            <v>581-2-25366-1</v>
          </cell>
        </row>
        <row r="577">
          <cell r="B577" t="str">
            <v>ร้านมงคลอิควิปเม้น</v>
          </cell>
          <cell r="C577" t="str">
            <v>นายก้องเกียรติ  มงคล</v>
          </cell>
          <cell r="D577" t="str">
            <v>BAY</v>
          </cell>
          <cell r="E577" t="str">
            <v>161-1-27627-0</v>
          </cell>
        </row>
        <row r="578">
          <cell r="B578" t="str">
            <v>ร้านมีตัง</v>
          </cell>
          <cell r="C578" t="str">
            <v>นายพงษ์พัฒน์ พิพัฒนพรวรกูล</v>
          </cell>
          <cell r="D578" t="str">
            <v>TTB</v>
          </cell>
          <cell r="E578" t="str">
            <v>310-2-69536-2</v>
          </cell>
        </row>
        <row r="579">
          <cell r="B579" t="str">
            <v>ร้านเอส เอ อะไหล่ยนต์</v>
          </cell>
          <cell r="C579" t="str">
            <v>คุณสุชาดา  อริยะวุฒิพันธ์</v>
          </cell>
          <cell r="D579" t="str">
            <v>BAY</v>
          </cell>
          <cell r="E579" t="str">
            <v>062-4-43169-3</v>
          </cell>
        </row>
        <row r="580">
          <cell r="B580" t="str">
            <v xml:space="preserve">เรืองการช่าง </v>
          </cell>
          <cell r="C580" t="str">
            <v>น.ส.จิรวัฒน์ เรืองช่วย</v>
          </cell>
          <cell r="D580" t="str">
            <v>Kbank</v>
          </cell>
          <cell r="E580" t="str">
            <v>460-2-05492-1</v>
          </cell>
        </row>
        <row r="581">
          <cell r="B581" t="str">
            <v>เรืองการช่าง</v>
          </cell>
          <cell r="C581" t="str">
            <v>นายอานนท์ เรืองช่วย</v>
          </cell>
          <cell r="D581" t="str">
            <v>Kbank</v>
          </cell>
          <cell r="E581" t="str">
            <v>131-3-30485-6</v>
          </cell>
        </row>
        <row r="582">
          <cell r="B582" t="str">
            <v>แร่นอง(ขนส่ง)</v>
          </cell>
          <cell r="C582" t="str">
            <v>นางจินตนา  สุดภักดี</v>
          </cell>
          <cell r="D582" t="str">
            <v>SCB</v>
          </cell>
          <cell r="E582" t="str">
            <v>581-2-08647-0</v>
          </cell>
        </row>
        <row r="583">
          <cell r="B583" t="str">
            <v xml:space="preserve">โรงกลึงช่างสุข- ปากคลอง </v>
          </cell>
          <cell r="C583" t="str">
            <v>อรจิดาภา ใจเอื้อ</v>
          </cell>
          <cell r="D583" t="str">
            <v>KBank</v>
          </cell>
          <cell r="E583" t="str">
            <v>184-3-68654-7</v>
          </cell>
        </row>
        <row r="584">
          <cell r="B584" t="str">
            <v>โรงกลึงช่างสุข-ปากคลอง</v>
          </cell>
          <cell r="C584" t="str">
            <v>สุวิจักขณ์  ใจเอื้อ</v>
          </cell>
          <cell r="D584" t="str">
            <v>KBank</v>
          </cell>
          <cell r="E584" t="str">
            <v>460-2-08061-2</v>
          </cell>
        </row>
        <row r="585">
          <cell r="B585" t="str">
            <v xml:space="preserve">โรงกลึงช่างสุข-ปากคลอง </v>
          </cell>
          <cell r="C585" t="str">
            <v>น.ส.ธรกนก  ใจเอื้อ</v>
          </cell>
          <cell r="D585" t="str">
            <v>KBank</v>
          </cell>
          <cell r="E585" t="str">
            <v>460-2-07607-0</v>
          </cell>
        </row>
        <row r="586">
          <cell r="B586" t="str">
            <v>โรงกลึงหมิ่นเฮง</v>
          </cell>
          <cell r="C586" t="str">
            <v>นายทินกรและนายกำจร พิพัฒนกุลชัย</v>
          </cell>
          <cell r="D586" t="str">
            <v>Kbank</v>
          </cell>
          <cell r="E586" t="str">
            <v>027-2-85667-2</v>
          </cell>
        </row>
        <row r="587">
          <cell r="B587" t="str">
            <v>โรงงานน้ำKH</v>
          </cell>
          <cell r="C587" t="str">
            <v>RONGNGANNAMKH</v>
          </cell>
          <cell r="D587" t="str">
            <v>BBL</v>
          </cell>
          <cell r="E587" t="str">
            <v>783-3-00083-4</v>
          </cell>
        </row>
        <row r="588">
          <cell r="B588" t="str">
            <v>โรงเจียร์ อันดามัน ระนอง</v>
          </cell>
          <cell r="C588" t="str">
            <v>คุณน้องรัก  สมแก้ว</v>
          </cell>
          <cell r="D588" t="str">
            <v>Kbank</v>
          </cell>
          <cell r="E588" t="str">
            <v>075-3-78436-5</v>
          </cell>
        </row>
        <row r="589">
          <cell r="B589" t="str">
            <v>โรงน้ำแข็งเจริญชัย</v>
          </cell>
          <cell r="C589" t="str">
            <v>คุณธนู ทักษิณาวงศ์</v>
          </cell>
          <cell r="D589" t="str">
            <v>SCB</v>
          </cell>
          <cell r="E589" t="str">
            <v>416-0-80775-2</v>
          </cell>
        </row>
        <row r="590">
          <cell r="B590" t="str">
            <v>โรงน้ำแข็งอดิศร</v>
          </cell>
          <cell r="C590" t="str">
            <v>นายฐนโรจน์  จงประเสริฐสิริ</v>
          </cell>
          <cell r="D590" t="str">
            <v>KTB</v>
          </cell>
          <cell r="E590" t="str">
            <v>806-0-50868-7</v>
          </cell>
        </row>
        <row r="591">
          <cell r="B591" t="str">
            <v>ลี๊เซียฮวด</v>
          </cell>
          <cell r="C591" t="str">
            <v>ลี๊เซียฮวด</v>
          </cell>
          <cell r="D591" t="str">
            <v>BBL</v>
          </cell>
          <cell r="E591" t="str">
            <v>112-0-29398-8</v>
          </cell>
        </row>
        <row r="592">
          <cell r="B592" t="str">
            <v>ลุงเล็ก</v>
          </cell>
          <cell r="C592" t="str">
            <v>นายพิสิฎฐ  เอี่ยมองค์</v>
          </cell>
          <cell r="D592" t="str">
            <v>Kbank</v>
          </cell>
          <cell r="E592" t="str">
            <v>232-2-05068-5</v>
          </cell>
        </row>
        <row r="593">
          <cell r="B593" t="str">
            <v>เลิศสยามสตีล</v>
          </cell>
          <cell r="C593" t="str">
            <v>คุณสุวรรณา  วงศ์ดีเลิศสกุล</v>
          </cell>
          <cell r="D593" t="str">
            <v>BBL</v>
          </cell>
          <cell r="E593" t="str">
            <v>195-3-02044-1</v>
          </cell>
        </row>
        <row r="594">
          <cell r="B594" t="str">
            <v>โลหะไพโรจน์</v>
          </cell>
          <cell r="C594" t="str">
            <v>นายสุรินทร์ เจียรวนาลี</v>
          </cell>
          <cell r="D594" t="str">
            <v>P-Pay</v>
          </cell>
          <cell r="E594" t="str">
            <v>081-893-0051</v>
          </cell>
        </row>
        <row r="595">
          <cell r="B595" t="str">
            <v>วัช (LB)</v>
          </cell>
          <cell r="C595" t="str">
            <v>นายวีระ จุลเสนีย์ชร</v>
          </cell>
          <cell r="D595" t="str">
            <v>Kbank</v>
          </cell>
          <cell r="E595" t="str">
            <v>460-2-09533-4</v>
          </cell>
        </row>
        <row r="596">
          <cell r="B596" t="str">
            <v xml:space="preserve">วัช (LB) </v>
          </cell>
          <cell r="C596" t="str">
            <v>นายวีระ  จุลเสนีย์ชร</v>
          </cell>
          <cell r="D596" t="str">
            <v>BBL</v>
          </cell>
          <cell r="E596" t="str">
            <v>527-0-24094-7</v>
          </cell>
        </row>
        <row r="597">
          <cell r="B597" t="str">
            <v>วัด บางริ้นสามัคคีธรรม</v>
          </cell>
          <cell r="C597" t="str">
            <v>วัด บางริ้นสามัคคีธรรม</v>
          </cell>
          <cell r="D597" t="str">
            <v>KTB</v>
          </cell>
          <cell r="E597" t="str">
            <v>361-0-46804-1</v>
          </cell>
        </row>
        <row r="598">
          <cell r="B598" t="str">
            <v>วัดสุวรรณคีรีวิหาร</v>
          </cell>
          <cell r="C598" t="str">
            <v>วัดสุวรรณคีรีวิหาร</v>
          </cell>
          <cell r="D598" t="str">
            <v>Kbank</v>
          </cell>
          <cell r="E598" t="str">
            <v>083-8-15079-9</v>
          </cell>
        </row>
        <row r="599">
          <cell r="B599" t="str">
            <v>วาสนาอดิศร</v>
          </cell>
          <cell r="C599" t="str">
            <v>นายเอื้ออังกูร  จงประเสริฐสิริ</v>
          </cell>
          <cell r="D599" t="str">
            <v>TTB</v>
          </cell>
          <cell r="E599" t="str">
            <v>429-2-43120-4</v>
          </cell>
        </row>
        <row r="600">
          <cell r="B600" t="str">
            <v xml:space="preserve">วาสนาอดิศร </v>
          </cell>
          <cell r="C600" t="str">
            <v>นายฐนโรจน์   จงประเสริฐสิริ</v>
          </cell>
          <cell r="D600" t="str">
            <v>TTB</v>
          </cell>
          <cell r="E600" t="str">
            <v>791-2-03788-9</v>
          </cell>
        </row>
        <row r="601">
          <cell r="B601" t="str">
            <v xml:space="preserve">วาสนาอดิศร  </v>
          </cell>
          <cell r="C601" t="str">
            <v>บจ.ล่ำซำดีโลจิสติก</v>
          </cell>
          <cell r="D601" t="str">
            <v>TTB</v>
          </cell>
          <cell r="E601" t="str">
            <v>791-2-05618-6</v>
          </cell>
        </row>
        <row r="602">
          <cell r="B602" t="str">
            <v>วิ่งพักตับระนอง</v>
          </cell>
          <cell r="C602" t="str">
            <v>วิ่งพักตับระนอง โดยคุณสุชีพ พัฒน์ทอง</v>
          </cell>
          <cell r="D602" t="str">
            <v>KTB</v>
          </cell>
          <cell r="E602" t="str">
            <v>806-0-69087-6</v>
          </cell>
        </row>
        <row r="603">
          <cell r="B603" t="str">
            <v>ศิริมงคล</v>
          </cell>
          <cell r="C603" t="str">
            <v>บจ.ศิริมงคลโลจิสติกส์</v>
          </cell>
          <cell r="D603" t="str">
            <v>BBL</v>
          </cell>
          <cell r="E603" t="str">
            <v>534-0-12899-9</v>
          </cell>
        </row>
        <row r="604">
          <cell r="B604" t="str">
            <v>ส.การดีเซล</v>
          </cell>
          <cell r="C604" t="str">
            <v>นายทิวา และนายธนรัฎฐกรณ์ ตันเสถียร</v>
          </cell>
          <cell r="D604" t="str">
            <v>Kbank</v>
          </cell>
          <cell r="E604" t="str">
            <v>025-1-65772-6</v>
          </cell>
        </row>
        <row r="605">
          <cell r="B605" t="str">
            <v>ส.ค้าเหล็ก</v>
          </cell>
          <cell r="C605" t="str">
            <v>ลักษรินทร์  จันทร์แสงวิเศษ</v>
          </cell>
          <cell r="D605" t="str">
            <v>BBL</v>
          </cell>
          <cell r="E605" t="str">
            <v>527-020258-2</v>
          </cell>
        </row>
        <row r="606">
          <cell r="B606" t="str">
            <v>สภาวัฒนธรรมจังหวัดระนอง</v>
          </cell>
          <cell r="C606" t="str">
            <v>สภาวัฒนธรรมจังหวัดระนอง</v>
          </cell>
          <cell r="D606" t="str">
            <v>KTB</v>
          </cell>
          <cell r="E606" t="str">
            <v>806-1-40403-6</v>
          </cell>
        </row>
        <row r="607">
          <cell r="B607" t="str">
            <v>สมัยการค้า</v>
          </cell>
          <cell r="C607" t="str">
            <v>นายสมศักดิ์ ปรัชญาวรากร</v>
          </cell>
          <cell r="D607" t="str">
            <v>Kbank</v>
          </cell>
          <cell r="E607" t="str">
            <v>232-2-29350-2</v>
          </cell>
        </row>
        <row r="608">
          <cell r="B608" t="str">
            <v>สมาคมผู้ผลิตปลาป่นไทย</v>
          </cell>
          <cell r="C608" t="str">
            <v>สมาคมผู้ผลิตปลาป่นไทย</v>
          </cell>
          <cell r="D608" t="str">
            <v>BBL</v>
          </cell>
          <cell r="E608" t="str">
            <v>195-3-02755-2</v>
          </cell>
        </row>
        <row r="609">
          <cell r="B609" t="str">
            <v>สรรพสามิต</v>
          </cell>
          <cell r="C609" t="str">
            <v>นายธวัต เชื้อดี</v>
          </cell>
          <cell r="D609" t="str">
            <v>KTB</v>
          </cell>
          <cell r="E609" t="str">
            <v>806-1-22259-0</v>
          </cell>
        </row>
        <row r="610">
          <cell r="B610" t="str">
            <v>สหทำเบาะ</v>
          </cell>
          <cell r="C610" t="str">
            <v>นายยศพัฒน์  ตั้งสมบัติสกุล</v>
          </cell>
          <cell r="D610" t="str">
            <v>TTB</v>
          </cell>
          <cell r="E610" t="str">
            <v>791-2-00443-4</v>
          </cell>
        </row>
        <row r="611">
          <cell r="B611" t="str">
            <v>สำนักงานเขตบางกะปิ</v>
          </cell>
          <cell r="C611" t="str">
            <v>สำนักงานเขตบางกะปิ</v>
          </cell>
          <cell r="D611" t="str">
            <v>QRCode</v>
          </cell>
          <cell r="E611" t="str">
            <v>QRCode</v>
          </cell>
        </row>
        <row r="612">
          <cell r="B612" t="str">
            <v>สุขประเสริฐการยาง</v>
          </cell>
          <cell r="C612" t="str">
            <v>นางสุภารัตน์  ลัภนะกุล</v>
          </cell>
          <cell r="D612" t="str">
            <v>SCB</v>
          </cell>
          <cell r="E612" t="str">
            <v>581-2-32101-6</v>
          </cell>
        </row>
        <row r="613">
          <cell r="B613" t="str">
            <v>สุพรรษา  ชัยชนะ</v>
          </cell>
          <cell r="C613" t="str">
            <v>สุพรรษา  ชัยชนะ</v>
          </cell>
          <cell r="D613" t="str">
            <v>Kbank</v>
          </cell>
          <cell r="E613" t="str">
            <v>059-1-25516-9</v>
          </cell>
        </row>
        <row r="614">
          <cell r="B614" t="str">
            <v>แสงรุ่งมารีน</v>
          </cell>
          <cell r="C614" t="str">
            <v>นายพีระ  ณ ถลาง</v>
          </cell>
          <cell r="D614" t="str">
            <v>Kbank</v>
          </cell>
          <cell r="E614" t="str">
            <v>460-2-01548-9</v>
          </cell>
        </row>
        <row r="615">
          <cell r="B615" t="str">
            <v>หจก. เจริญยนต์ไทยพัฒนา</v>
          </cell>
          <cell r="C615" t="str">
            <v>คุณวิชาดา  เพิ่มพันธุ์วรวัฒน์</v>
          </cell>
          <cell r="D615" t="str">
            <v>TTB</v>
          </cell>
          <cell r="E615" t="str">
            <v>919-2-32631-3</v>
          </cell>
        </row>
        <row r="616">
          <cell r="B616" t="str">
            <v>หจก.ก.แสงทอง</v>
          </cell>
          <cell r="C616" t="str">
            <v>หจก.ก.แสงทอง</v>
          </cell>
          <cell r="D616" t="str">
            <v>SCB</v>
          </cell>
          <cell r="E616" t="str">
            <v>404-2-07919-0</v>
          </cell>
        </row>
        <row r="617">
          <cell r="B617" t="str">
            <v>หจก.กังย่งเฮง</v>
          </cell>
          <cell r="C617" t="str">
            <v>คุณธนาภรณ์  เพราะดีงาม</v>
          </cell>
          <cell r="D617" t="str">
            <v>BBL</v>
          </cell>
          <cell r="E617" t="str">
            <v>308-5-24006-1</v>
          </cell>
        </row>
        <row r="618">
          <cell r="B618" t="str">
            <v>หจก.เกษมพงษ์รัตน์</v>
          </cell>
          <cell r="C618" t="str">
            <v>หจก.เกษมพงษ์รัตน์</v>
          </cell>
          <cell r="D618" t="str">
            <v>Kbank</v>
          </cell>
          <cell r="E618" t="str">
            <v>398-2-95466-4</v>
          </cell>
        </row>
        <row r="619">
          <cell r="B619" t="str">
            <v>หจก.แกรนเมโทรฮาร์ดแวร์</v>
          </cell>
          <cell r="C619" t="str">
            <v>หจก.แกรนเมโทรฮาร์ดแวร์</v>
          </cell>
          <cell r="D619" t="str">
            <v>TTB</v>
          </cell>
          <cell r="E619" t="str">
            <v>122-2-13785-1</v>
          </cell>
        </row>
        <row r="620">
          <cell r="B620" t="str">
            <v>หจก.ข้ามสมุทรขนส่ง</v>
          </cell>
          <cell r="C620" t="str">
            <v>หจก.ข้ามสมุทรขนส่ง</v>
          </cell>
          <cell r="D620" t="str">
            <v>TTB</v>
          </cell>
          <cell r="E620" t="str">
            <v>429-1-05081-5</v>
          </cell>
        </row>
        <row r="621">
          <cell r="B621" t="str">
            <v>หจก.จ.เจริญกรุง</v>
          </cell>
          <cell r="C621" t="str">
            <v>คุณปุณณภา  เจียรมณีงาม</v>
          </cell>
          <cell r="D621" t="str">
            <v>Kbank</v>
          </cell>
          <cell r="E621" t="str">
            <v>080-2-92740-1</v>
          </cell>
        </row>
        <row r="622">
          <cell r="B622" t="str">
            <v xml:space="preserve">หจก.จ.เจริญกรุง </v>
          </cell>
          <cell r="C622" t="str">
            <v>หจก.จ.เจริญกรุง</v>
          </cell>
          <cell r="D622" t="str">
            <v>Kbank</v>
          </cell>
          <cell r="E622" t="str">
            <v>080-2-48154-3</v>
          </cell>
        </row>
        <row r="623">
          <cell r="B623" t="str">
            <v>หจก.จีทีอาร์ ซัพพลาย</v>
          </cell>
          <cell r="C623" t="str">
            <v>หจก.จีทีอาร์ ซัพพลาย</v>
          </cell>
          <cell r="D623" t="str">
            <v>Kbank</v>
          </cell>
          <cell r="E623" t="str">
            <v>972-2-52993-3</v>
          </cell>
        </row>
        <row r="624">
          <cell r="B624" t="str">
            <v>หจก.เจริญยนต์ไทยพัฒนา</v>
          </cell>
          <cell r="C624" t="str">
            <v>หจก.เจริญยนต์ไทยพัฒนา</v>
          </cell>
          <cell r="D624" t="str">
            <v>Kbank</v>
          </cell>
          <cell r="E624" t="str">
            <v>005-2-61833-9</v>
          </cell>
        </row>
        <row r="625">
          <cell r="B625" t="str">
            <v>หจก.ชุมพรรุ่งเรืองทรานสปร์ต</v>
          </cell>
          <cell r="C625" t="str">
            <v>หจก.ชุมพรรุ่งเรืองทรานสปร์ต</v>
          </cell>
          <cell r="D625" t="str">
            <v>Kbank</v>
          </cell>
          <cell r="E625" t="str">
            <v>113-2-51750-5</v>
          </cell>
        </row>
        <row r="626">
          <cell r="B626" t="str">
            <v>หจก.ทรัพย์สิริซัพพลาย</v>
          </cell>
          <cell r="C626" t="str">
            <v>หจก.ทรัพย์สิริซัพพลาย</v>
          </cell>
          <cell r="D626" t="str">
            <v>BAY</v>
          </cell>
          <cell r="E626" t="str">
            <v>188-1-43657-7</v>
          </cell>
        </row>
        <row r="627">
          <cell r="B627" t="str">
            <v>หจก.ทิเม้ง</v>
          </cell>
          <cell r="C627" t="str">
            <v>หจก.ทิเม้ง</v>
          </cell>
          <cell r="D627" t="str">
            <v>Kbank</v>
          </cell>
          <cell r="E627" t="str">
            <v>050-1-02664-6</v>
          </cell>
        </row>
        <row r="628">
          <cell r="B628" t="str">
            <v>หจก.เทพศิริ</v>
          </cell>
          <cell r="C628" t="str">
            <v>หจก.เทพศิริ</v>
          </cell>
          <cell r="D628" t="str">
            <v>Kbank</v>
          </cell>
          <cell r="E628" t="str">
            <v>052-8-05352-1</v>
          </cell>
        </row>
        <row r="629">
          <cell r="B629" t="str">
            <v>หจก.พรรณแก้วขนส่ง</v>
          </cell>
          <cell r="C629" t="str">
            <v>หจก.พรรณแก้วขนส่ง</v>
          </cell>
          <cell r="D629" t="str">
            <v>Kbank</v>
          </cell>
          <cell r="E629" t="str">
            <v>232-2-25896-0</v>
          </cell>
        </row>
        <row r="630">
          <cell r="B630" t="str">
            <v>หจก.พี.เค.แอนด์ พี.พี.เทรดดิ้ง</v>
          </cell>
          <cell r="C630" t="str">
            <v>หจก.พี.เค.แอนด์ พี.พี.เทรดดิ้ง</v>
          </cell>
          <cell r="D630" t="str">
            <v>TTB</v>
          </cell>
          <cell r="E630" t="str">
            <v>111-2-11197-4</v>
          </cell>
        </row>
        <row r="631">
          <cell r="B631" t="str">
            <v>หจก.มารีนไทย ชิปยาร์ด&amp;เอ็นจิเนียริ่ง</v>
          </cell>
          <cell r="C631" t="str">
            <v>หจก.มารีนไทย ชิปยาร์ด&amp;เอ็นจิเนียริ่ง</v>
          </cell>
          <cell r="D631" t="str">
            <v>Kbank</v>
          </cell>
          <cell r="E631" t="str">
            <v>068-3-36425-8</v>
          </cell>
        </row>
        <row r="632">
          <cell r="B632" t="str">
            <v>หจก.ยิ่งยง สมาร์ท บิส</v>
          </cell>
          <cell r="C632" t="str">
            <v>หจก.ยิ่งยง สมาร์ท บิส</v>
          </cell>
          <cell r="D632" t="str">
            <v>SCB</v>
          </cell>
          <cell r="E632" t="str">
            <v>410-0-42025-1</v>
          </cell>
        </row>
        <row r="633">
          <cell r="B633" t="str">
            <v>หจก.สาธิตกลการ</v>
          </cell>
          <cell r="C633" t="str">
            <v>หจก.สาธิตกลการ</v>
          </cell>
          <cell r="D633" t="str">
            <v>Kbank</v>
          </cell>
          <cell r="E633" t="str">
            <v>044-1-01532-1</v>
          </cell>
        </row>
        <row r="634">
          <cell r="B634" t="str">
            <v>หจก.สุขประเสริฐการยาง</v>
          </cell>
          <cell r="C634" t="str">
            <v>หจก.สุขประเสริฐการยาง</v>
          </cell>
          <cell r="D634" t="str">
            <v>SCB</v>
          </cell>
          <cell r="E634" t="str">
            <v>581-2-12730-7</v>
          </cell>
        </row>
        <row r="635">
          <cell r="B635" t="str">
            <v>หจก.เสกศิริเนติพันธ์</v>
          </cell>
          <cell r="C635" t="str">
            <v>หจก.เสกศิริเนติพันธ์</v>
          </cell>
          <cell r="D635" t="str">
            <v>Kbank</v>
          </cell>
          <cell r="E635" t="str">
            <v>232-1-03519-4</v>
          </cell>
        </row>
        <row r="636">
          <cell r="B636" t="str">
            <v>หจก.อ้วนเทอร์โบ</v>
          </cell>
          <cell r="C636" t="str">
            <v>นายอธิวัฒน์  หลอดสันเทียะ</v>
          </cell>
          <cell r="D636" t="str">
            <v>Kbank</v>
          </cell>
          <cell r="E636" t="str">
            <v>849-2-06517-0</v>
          </cell>
        </row>
        <row r="637">
          <cell r="B637" t="str">
            <v>หจก.อันดามัน ระนอง ขนส่ง</v>
          </cell>
          <cell r="C637" t="str">
            <v>หจก.อันดามัน ระนอง ขนส่ง</v>
          </cell>
          <cell r="D637" t="str">
            <v>Kbank</v>
          </cell>
          <cell r="E637" t="str">
            <v>790-2-39193-7</v>
          </cell>
        </row>
        <row r="638">
          <cell r="B638" t="str">
            <v>หจก.เอส.เอ็ม.พี ระนองเทรดดิ้ง</v>
          </cell>
          <cell r="C638" t="str">
            <v>หจก.เอส.เอ็ม.พี ระนองเทรดดิ้ง</v>
          </cell>
          <cell r="D638" t="str">
            <v>KTB</v>
          </cell>
          <cell r="E638" t="str">
            <v>361-0-03378-9</v>
          </cell>
        </row>
        <row r="639">
          <cell r="B639" t="str">
            <v>หจก.ฮะเซ่งจั่น</v>
          </cell>
          <cell r="C639" t="str">
            <v>หจก.ฮะเซ่งจั่น</v>
          </cell>
          <cell r="D639" t="str">
            <v>SCB</v>
          </cell>
          <cell r="E639" t="str">
            <v>042-2-81711-4</v>
          </cell>
        </row>
        <row r="640">
          <cell r="B640" t="str">
            <v>หนูดี</v>
          </cell>
          <cell r="C640" t="str">
            <v>น.ส.ฐิตารีย์  ทักษิณาวงศ์</v>
          </cell>
          <cell r="D640" t="str">
            <v>BAY</v>
          </cell>
          <cell r="E640" t="str">
            <v>800-9-32664-3</v>
          </cell>
        </row>
        <row r="641">
          <cell r="B641" t="str">
            <v xml:space="preserve">หนูดี </v>
          </cell>
          <cell r="C641" t="str">
            <v>น.ส.ฐิตารีย์   ทักษิณาวงศ์</v>
          </cell>
          <cell r="D641" t="str">
            <v>Kbank</v>
          </cell>
          <cell r="E641" t="str">
            <v>141-8-31192-0</v>
          </cell>
        </row>
        <row r="642">
          <cell r="B642" t="str">
            <v>หมู่บ้านแพใหม่</v>
          </cell>
          <cell r="C642" t="str">
            <v>หมู่บ้านแพใหม่</v>
          </cell>
          <cell r="D642" t="str">
            <v>GSB</v>
          </cell>
          <cell r="E642" t="str">
            <v>020-4-6939244-1</v>
          </cell>
        </row>
        <row r="643">
          <cell r="B643" t="str">
            <v>ห้องปฏิบัติการกลาง</v>
          </cell>
          <cell r="C643" t="str">
            <v>บมจ.ห้องปฏิบัติการกลาง(ประเทศไทย)</v>
          </cell>
          <cell r="D643" t="str">
            <v>BBL</v>
          </cell>
          <cell r="E643" t="str">
            <v>161-5-54505-8</v>
          </cell>
        </row>
        <row r="644">
          <cell r="B644" t="str">
            <v>อนุสรณ์(ฉีดโฟม)</v>
          </cell>
          <cell r="C644" t="str">
            <v>คุณอนุสรณ์และคุณภาวิณี ลีละบรรยงค์</v>
          </cell>
          <cell r="D644" t="str">
            <v>SCB</v>
          </cell>
          <cell r="E644" t="str">
            <v>324-3-01659-1</v>
          </cell>
        </row>
        <row r="645">
          <cell r="B645" t="str">
            <v>อวนเจ้จิ๋ม</v>
          </cell>
          <cell r="C645" t="str">
            <v>นางจิระประไพ  เทียนอำไพ</v>
          </cell>
          <cell r="D645" t="str">
            <v>BBL</v>
          </cell>
          <cell r="E645" t="str">
            <v>527-0-21719-2</v>
          </cell>
        </row>
        <row r="646">
          <cell r="B646" t="str">
            <v>อันดามันขนส่ง(โกกิ้ว)</v>
          </cell>
          <cell r="C646" t="str">
            <v>นายบุณย์เนตร  ลิ่มตั้ง</v>
          </cell>
          <cell r="D646" t="str">
            <v>TTB</v>
          </cell>
          <cell r="E646" t="str">
            <v>429-2-21175-4</v>
          </cell>
        </row>
        <row r="647">
          <cell r="B647" t="str">
            <v>อู่ขวัญชีวิต</v>
          </cell>
          <cell r="C647" t="str">
            <v>คุณบุปผา สายสาหร่าย</v>
          </cell>
          <cell r="D647" t="str">
            <v>SCB</v>
          </cell>
          <cell r="E647" t="str">
            <v>581-2-08847-2</v>
          </cell>
        </row>
        <row r="648">
          <cell r="B648" t="str">
            <v xml:space="preserve">อู่ขวัญชีวิต </v>
          </cell>
          <cell r="C648" t="str">
            <v>นายเอกราช  ติกวัฒนานนท์</v>
          </cell>
          <cell r="D648" t="str">
            <v>SCB</v>
          </cell>
          <cell r="E648" t="str">
            <v>581-2-17255-6</v>
          </cell>
        </row>
        <row r="649">
          <cell r="B649" t="str">
            <v>อู่ช่างขวัญ</v>
          </cell>
          <cell r="C649" t="str">
            <v>คุณสุพพัต  ชัยศิริภูริสกุล</v>
          </cell>
          <cell r="D649" t="str">
            <v>Kbank</v>
          </cell>
          <cell r="E649" t="str">
            <v>175-1-12467-4</v>
          </cell>
        </row>
        <row r="650">
          <cell r="B650" t="str">
            <v>อู่ช่างปลา</v>
          </cell>
          <cell r="C650" t="str">
            <v>คุณขวัญนภา ทองคำ</v>
          </cell>
          <cell r="D650" t="str">
            <v>TTB</v>
          </cell>
          <cell r="E650" t="str">
            <v>429-2-24514-1</v>
          </cell>
        </row>
        <row r="651">
          <cell r="B651" t="str">
            <v xml:space="preserve">อู่ช่างปลา </v>
          </cell>
          <cell r="C651" t="str">
            <v>นายวีระชัย  ทองคำ</v>
          </cell>
          <cell r="D651" t="str">
            <v>KTB</v>
          </cell>
          <cell r="E651" t="str">
            <v>361-0-23225-0</v>
          </cell>
        </row>
        <row r="652">
          <cell r="B652" t="str">
            <v xml:space="preserve">อู่ช่างปลา   </v>
          </cell>
          <cell r="C652" t="str">
            <v>นายวีระชัย   ทองคำ</v>
          </cell>
          <cell r="D652" t="str">
            <v>TTB</v>
          </cell>
          <cell r="E652" t="str">
            <v>791-2-03975-2</v>
          </cell>
        </row>
        <row r="653">
          <cell r="B653" t="str">
            <v>อู่เสงี่ยมการช่าง</v>
          </cell>
          <cell r="C653" t="str">
            <v>คุณพิมพ์ชนก ถิ่นวงษ์ยอด</v>
          </cell>
          <cell r="D653" t="str">
            <v>BAY</v>
          </cell>
          <cell r="E653" t="str">
            <v>161-1-23879-2</v>
          </cell>
        </row>
        <row r="654">
          <cell r="B654" t="str">
            <v>อู่เสน่ห์</v>
          </cell>
          <cell r="C654" t="str">
            <v>นางกิรณา  สุขอร่าม</v>
          </cell>
          <cell r="D654" t="str">
            <v>Kbank</v>
          </cell>
          <cell r="E654" t="str">
            <v>232-2-11657-0</v>
          </cell>
        </row>
        <row r="655">
          <cell r="B655" t="str">
            <v>โอ๋เจริญการช่าง</v>
          </cell>
          <cell r="C655" t="str">
            <v>นายธีรยุทธ สุขแจ่ม</v>
          </cell>
          <cell r="D655" t="str">
            <v>BBL</v>
          </cell>
          <cell r="E655" t="str">
            <v>291-0-83736-4</v>
          </cell>
        </row>
        <row r="656">
          <cell r="B656" t="str">
            <v>เฮียเก๊า</v>
          </cell>
          <cell r="C656" t="str">
            <v>นายเมธี  วาตะศิริกุล</v>
          </cell>
          <cell r="D656" t="str">
            <v>Kbank</v>
          </cell>
          <cell r="E656" t="str">
            <v>317-1-02251-6</v>
          </cell>
        </row>
        <row r="657">
          <cell r="B657"/>
          <cell r="C657"/>
          <cell r="D657"/>
          <cell r="E657"/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569"/>
      <sheetName val="DATA"/>
      <sheetName val="6-69"/>
      <sheetName val="5-69"/>
      <sheetName val="4-69"/>
      <sheetName val="3-69"/>
      <sheetName val="2-69"/>
      <sheetName val="1-69"/>
    </sheetNames>
    <sheetDataSet>
      <sheetData sheetId="0"/>
      <sheetData sheetId="1"/>
      <sheetData sheetId="2"/>
      <sheetData sheetId="3">
        <row r="3">
          <cell r="A3" t="str">
            <v>Voucher</v>
          </cell>
          <cell r="B3" t="str">
            <v>Pst</v>
          </cell>
          <cell r="C3" t="str">
            <v>วันที่</v>
          </cell>
          <cell r="D3" t="str">
            <v>A/Cย่อย</v>
          </cell>
          <cell r="E3" t="str">
            <v>ชื่อบัญชี</v>
          </cell>
          <cell r="F3" t="str">
            <v>รายละเอียด</v>
          </cell>
          <cell r="G3" t="str">
            <v>จ่ายให้</v>
          </cell>
          <cell r="H3" t="str">
            <v>BY</v>
          </cell>
          <cell r="I3" t="str">
            <v>รับ</v>
          </cell>
          <cell r="J3" t="str">
            <v>จ่าย</v>
          </cell>
        </row>
        <row r="4">
          <cell r="C4" t="str">
            <v>ยกมา</v>
          </cell>
        </row>
        <row r="5">
          <cell r="A5" t="str">
            <v>M69-05-001</v>
          </cell>
          <cell r="C5">
            <v>46143</v>
          </cell>
          <cell r="E5" t="str">
            <v>Yส่วนตัว</v>
          </cell>
          <cell r="F5" t="str">
            <v>โอนเงินให้มะโถ้ย 5.)</v>
          </cell>
          <cell r="G5" t="str">
            <v>แฟนโกหย่ง</v>
          </cell>
          <cell r="H5" t="str">
            <v>BBL</v>
          </cell>
          <cell r="J5">
            <v>150000</v>
          </cell>
        </row>
        <row r="6">
          <cell r="A6" t="str">
            <v>M69-05-002</v>
          </cell>
          <cell r="C6">
            <v>46143</v>
          </cell>
          <cell r="E6" t="str">
            <v>โกต้งส่วนตัว</v>
          </cell>
          <cell r="F6" t="str">
            <v>ให้จี้เกี่ยใช้ 5.) (ปิดอ่าว#2)</v>
          </cell>
          <cell r="G6" t="str">
            <v xml:space="preserve">จี้เมธ์   </v>
          </cell>
          <cell r="H6" t="str">
            <v>TTB</v>
          </cell>
          <cell r="J6">
            <v>100000</v>
          </cell>
        </row>
        <row r="7">
          <cell r="A7" t="str">
            <v>M69-05-003</v>
          </cell>
          <cell r="C7">
            <v>46143</v>
          </cell>
          <cell r="E7" t="str">
            <v>โกเจี้ยวส่วนตัว</v>
          </cell>
          <cell r="F7" t="str">
            <v>เงินเดือนโกเจี้ยวและครอบครัว 5.)</v>
          </cell>
          <cell r="H7" t="e">
            <v>#N/A</v>
          </cell>
          <cell r="J7">
            <v>495000</v>
          </cell>
        </row>
        <row r="8">
          <cell r="A8" t="str">
            <v>M69-05-004</v>
          </cell>
          <cell r="C8">
            <v>46143</v>
          </cell>
          <cell r="E8" t="str">
            <v>CH-Exp</v>
          </cell>
          <cell r="F8" t="str">
            <v>รายเดือนครอบครัวโกช่อง 5.)</v>
          </cell>
          <cell r="H8" t="e">
            <v>#N/A</v>
          </cell>
          <cell r="J8">
            <v>250000</v>
          </cell>
        </row>
        <row r="9">
          <cell r="A9" t="str">
            <v>M69-05-005</v>
          </cell>
          <cell r="C9">
            <v>46143</v>
          </cell>
          <cell r="E9" t="str">
            <v>สำรองเจ้าหน้าที่</v>
          </cell>
          <cell r="F9" t="str">
            <v>รายเดือนสรรพสามิต 5.)</v>
          </cell>
          <cell r="G9" t="str">
            <v>สรรพสามิต</v>
          </cell>
          <cell r="H9" t="str">
            <v>KTB</v>
          </cell>
          <cell r="J9">
            <v>5000</v>
          </cell>
        </row>
        <row r="10">
          <cell r="A10" t="str">
            <v>M69-05-006</v>
          </cell>
          <cell r="C10">
            <v>46143</v>
          </cell>
          <cell r="E10" t="str">
            <v>OFF</v>
          </cell>
          <cell r="F10" t="str">
            <v>เงินเดือนน้องอร(ชมรมแพปลา) 4.)</v>
          </cell>
          <cell r="G10" t="str">
            <v>โกจุ่ง</v>
          </cell>
          <cell r="H10" t="str">
            <v>BBL</v>
          </cell>
          <cell r="J10">
            <v>2500</v>
          </cell>
        </row>
        <row r="11">
          <cell r="A11" t="str">
            <v>M69-05-007</v>
          </cell>
          <cell r="C11">
            <v>46146</v>
          </cell>
          <cell r="E11" t="str">
            <v>Exp MYEIK</v>
          </cell>
          <cell r="F11" t="str">
            <v>โอนเงิน (โกหย่งแจ้งให้โอน)</v>
          </cell>
          <cell r="G11" t="str">
            <v>MS.ZIN THU HAN</v>
          </cell>
          <cell r="H11" t="str">
            <v>P-Pay</v>
          </cell>
          <cell r="J11">
            <v>4000</v>
          </cell>
        </row>
        <row r="12">
          <cell r="A12" t="str">
            <v>M69-05-008</v>
          </cell>
          <cell r="C12">
            <v>46146</v>
          </cell>
          <cell r="E12" t="str">
            <v>Exp MYEIK</v>
          </cell>
          <cell r="F12" t="str">
            <v>ค่ารถและค่าไกด์ (โกหย่งแจ้งให้โอน)</v>
          </cell>
          <cell r="G12" t="str">
            <v>ยี่เอ้ง</v>
          </cell>
          <cell r="H12" t="str">
            <v>BBL</v>
          </cell>
          <cell r="J12">
            <v>6500</v>
          </cell>
        </row>
        <row r="13">
          <cell r="A13" t="str">
            <v>M69-05-009</v>
          </cell>
          <cell r="C13">
            <v>46147</v>
          </cell>
          <cell r="E13" t="str">
            <v>ต้นน้ำจืด</v>
          </cell>
          <cell r="F13" t="str">
            <v>ค่าน้ำจืด 4.) (128คันx140 )</v>
          </cell>
          <cell r="G13" t="str">
            <v>ต้นน้ำจืด</v>
          </cell>
          <cell r="H13" t="str">
            <v>KTB</v>
          </cell>
          <cell r="J13">
            <v>17920</v>
          </cell>
        </row>
        <row r="14">
          <cell r="A14" t="str">
            <v>M69-05-010</v>
          </cell>
          <cell r="C14">
            <v>46147</v>
          </cell>
          <cell r="E14" t="str">
            <v>บ่อน้ำตาอิน</v>
          </cell>
          <cell r="F14" t="str">
            <v>ค่าน้ำจืด 4.) (48คันx150 )</v>
          </cell>
          <cell r="G14" t="str">
            <v xml:space="preserve">บ่อน้ำตาอิน </v>
          </cell>
          <cell r="H14" t="str">
            <v>TTB</v>
          </cell>
          <cell r="J14">
            <v>7200</v>
          </cell>
        </row>
        <row r="15">
          <cell r="A15" t="str">
            <v>M69-05-011</v>
          </cell>
          <cell r="C15">
            <v>46147</v>
          </cell>
          <cell r="E15" t="str">
            <v>สำรองทิพย์</v>
          </cell>
          <cell r="F15" t="str">
            <v>ค่าโทรศัพท์AIS 4.)</v>
          </cell>
          <cell r="G15" t="str">
            <v>ทิพย์ (ท่าเรือฯ)2</v>
          </cell>
          <cell r="H15" t="str">
            <v>P-Pay</v>
          </cell>
          <cell r="J15">
            <v>6754</v>
          </cell>
        </row>
        <row r="16">
          <cell r="A16" t="str">
            <v>M69-05-012</v>
          </cell>
          <cell r="C16">
            <v>46147</v>
          </cell>
          <cell r="E16" t="str">
            <v>ชาญสยามขนส่ง</v>
          </cell>
          <cell r="F16" t="str">
            <v>ค่าบรรทุกปลาป่นRGT#15/25-26 WTK (14คัน)(หักW/Tax 1,330.-) รอบที่ 1</v>
          </cell>
          <cell r="G16" t="str">
            <v>ชาญสยามขนส่ง</v>
          </cell>
          <cell r="H16" t="str">
            <v>Kbank</v>
          </cell>
          <cell r="J16">
            <v>131670</v>
          </cell>
        </row>
        <row r="17">
          <cell r="A17" t="str">
            <v>M69-05-013</v>
          </cell>
          <cell r="C17">
            <v>46147</v>
          </cell>
          <cell r="E17" t="str">
            <v>สำรองโกจุ่ง</v>
          </cell>
          <cell r="F17" t="str">
            <v>ค่าเช่าธนสาร2/ใต้โต๊ะ/ตม. 4.)</v>
          </cell>
          <cell r="G17" t="str">
            <v>โกจุ่ง</v>
          </cell>
          <cell r="H17" t="str">
            <v>BBL</v>
          </cell>
          <cell r="J17">
            <v>115707</v>
          </cell>
        </row>
        <row r="18">
          <cell r="A18" t="str">
            <v>M69-05-014</v>
          </cell>
          <cell r="C18">
            <v>46147</v>
          </cell>
          <cell r="E18" t="str">
            <v>โกต้งส่วนตัว</v>
          </cell>
          <cell r="F18" t="str">
            <v>ค่าของ 3.) (บ้านโกต้ง)</v>
          </cell>
          <cell r="G18" t="str">
            <v xml:space="preserve">มงคลพรหมระนอง </v>
          </cell>
          <cell r="H18" t="str">
            <v>อิสลาม</v>
          </cell>
          <cell r="J18">
            <v>5450</v>
          </cell>
        </row>
        <row r="19">
          <cell r="A19" t="str">
            <v>M69-05-015</v>
          </cell>
          <cell r="C19">
            <v>46147</v>
          </cell>
          <cell r="E19" t="str">
            <v>M-SHOP</v>
          </cell>
          <cell r="F19" t="str">
            <v>ลวดเชื่อม</v>
          </cell>
          <cell r="G19" t="str">
            <v>THAI KOBELCO WELDING</v>
          </cell>
          <cell r="H19" t="str">
            <v>MIZUHO</v>
          </cell>
          <cell r="J19">
            <v>379368</v>
          </cell>
        </row>
        <row r="20">
          <cell r="A20" t="str">
            <v>M69-05-016</v>
          </cell>
          <cell r="C20">
            <v>46147</v>
          </cell>
          <cell r="E20" t="str">
            <v>บจ.โรงกลึงสองวัลย์</v>
          </cell>
          <cell r="F20" t="str">
            <v>มัดจำ50% หน้าต่าง,ลูกบิด,ยางฟองน้ำ</v>
          </cell>
          <cell r="G20" t="str">
            <v>บจ.โรงกลึงสองวัลย์</v>
          </cell>
          <cell r="H20" t="str">
            <v>Kbank</v>
          </cell>
          <cell r="J20">
            <v>390300</v>
          </cell>
        </row>
        <row r="21">
          <cell r="A21" t="str">
            <v>M69-05-017</v>
          </cell>
          <cell r="C21">
            <v>46147</v>
          </cell>
          <cell r="E21" t="str">
            <v>M-SHOP</v>
          </cell>
          <cell r="F21" t="str">
            <v>ทางแยกน้ำทองเหลือง(5ชิ้น)</v>
          </cell>
          <cell r="G21" t="str">
            <v>บจ.ยนตรการเมทัลเวิร์ค</v>
          </cell>
          <cell r="H21" t="str">
            <v>BBL</v>
          </cell>
          <cell r="J21">
            <v>15789</v>
          </cell>
        </row>
        <row r="22">
          <cell r="A22" t="str">
            <v>M69-05-018</v>
          </cell>
          <cell r="C22">
            <v>46147</v>
          </cell>
          <cell r="E22" t="str">
            <v>M-SHOP</v>
          </cell>
          <cell r="F22" t="str">
            <v>ตะปูตะกั่ว 40กก.</v>
          </cell>
          <cell r="G22" t="str">
            <v>บจ.แกรนเมโทรฮาร์ดแวร์</v>
          </cell>
          <cell r="H22" t="str">
            <v>Kbank</v>
          </cell>
          <cell r="J22">
            <v>5800</v>
          </cell>
        </row>
        <row r="23">
          <cell r="A23" t="str">
            <v>M69-05-019</v>
          </cell>
          <cell r="C23">
            <v>46147</v>
          </cell>
          <cell r="E23" t="str">
            <v>FM</v>
          </cell>
          <cell r="F23" t="str">
            <v>ค่าวิเคราะห์ปลาป่น #15/25-26 WTK (54x710.-)</v>
          </cell>
          <cell r="G23" t="str">
            <v>บจ.จรมิตร</v>
          </cell>
          <cell r="H23" t="str">
            <v>Kbank</v>
          </cell>
          <cell r="J23">
            <v>38340</v>
          </cell>
        </row>
        <row r="24">
          <cell r="C24">
            <v>46148</v>
          </cell>
          <cell r="E24" t="str">
            <v>BBL 966-1</v>
          </cell>
          <cell r="F24" t="str">
            <v>นำเงินเข้าบัญชี</v>
          </cell>
          <cell r="H24" t="e">
            <v>#N/A</v>
          </cell>
          <cell r="I24">
            <v>3000000</v>
          </cell>
        </row>
        <row r="25">
          <cell r="A25" t="str">
            <v>M69-05-020</v>
          </cell>
          <cell r="C25">
            <v>46148</v>
          </cell>
          <cell r="E25" t="str">
            <v>ชาญสยามขนส่ง</v>
          </cell>
          <cell r="F25" t="str">
            <v>ค่าบรรทุกปลาป่นRGT#15/25-26 WTK (8คัน)(หักW/Tax 760.-) รอบที่ 2</v>
          </cell>
          <cell r="G25" t="str">
            <v>ชาญสยามขนส่ง</v>
          </cell>
          <cell r="H25" t="str">
            <v>Kbank</v>
          </cell>
          <cell r="J25">
            <v>75240</v>
          </cell>
        </row>
        <row r="26">
          <cell r="A26" t="str">
            <v>M69-05-021</v>
          </cell>
          <cell r="C26">
            <v>46148</v>
          </cell>
          <cell r="E26" t="str">
            <v>โกชุ้น (ขนส่ง)</v>
          </cell>
          <cell r="F26" t="str">
            <v>ค่าบรรทุกปลาป่นRGT#15/25-26 WTK (6คัน)(หักW/Tax 570.-)</v>
          </cell>
          <cell r="G26" t="str">
            <v>โกชุ้น (ขนส่ง)</v>
          </cell>
          <cell r="H26" t="str">
            <v>Kbank</v>
          </cell>
          <cell r="J26">
            <v>56430</v>
          </cell>
        </row>
        <row r="27">
          <cell r="A27" t="str">
            <v>M69-05-022</v>
          </cell>
          <cell r="C27">
            <v>46148</v>
          </cell>
          <cell r="E27" t="str">
            <v>ตันเก้ง</v>
          </cell>
          <cell r="F27" t="str">
            <v>ค่าบรรทุกปลาป่นRGT#15/25-26 WTK (4คัน)(หักW/Tax 380.-)</v>
          </cell>
          <cell r="G27" t="str">
            <v>บจ.ทีเค.วัน ขนส่ง และ เซอร์วิส</v>
          </cell>
          <cell r="H27" t="str">
            <v>BBL</v>
          </cell>
          <cell r="J27">
            <v>37620</v>
          </cell>
        </row>
        <row r="28">
          <cell r="A28" t="str">
            <v>M69-05-023</v>
          </cell>
          <cell r="C28">
            <v>46148</v>
          </cell>
          <cell r="E28" t="str">
            <v>ตั้งข้าวสาร</v>
          </cell>
          <cell r="F28" t="str">
            <v>ค่าบรรทุกปลาป่นRGT#15/25-26 WTK (4คัน)(หักW/Tax 380.-)</v>
          </cell>
          <cell r="G28" t="str">
            <v>ตั้งข้าวสาร</v>
          </cell>
          <cell r="H28" t="str">
            <v>Kbank</v>
          </cell>
          <cell r="J28">
            <v>37620</v>
          </cell>
        </row>
        <row r="29">
          <cell r="A29" t="str">
            <v>M69-05-024</v>
          </cell>
          <cell r="C29">
            <v>46148</v>
          </cell>
          <cell r="E29" t="str">
            <v>หจก.เสกศิริเนติพันธ์</v>
          </cell>
          <cell r="F29" t="str">
            <v>ค่าบรรทุกปลาป่นRGT#15/25-26 WTK (4คัน)(หักW/Tax 380.-)</v>
          </cell>
          <cell r="G29" t="str">
            <v>หจก.เสกศิริเนติพันธ์</v>
          </cell>
          <cell r="H29" t="str">
            <v>Kbank</v>
          </cell>
          <cell r="J29">
            <v>37620</v>
          </cell>
        </row>
        <row r="30">
          <cell r="A30" t="str">
            <v>M69-05-025</v>
          </cell>
          <cell r="C30">
            <v>46148</v>
          </cell>
          <cell r="E30" t="str">
            <v>พรรณแก้ว(ขนส่ง)</v>
          </cell>
          <cell r="F30" t="str">
            <v>ค่าบรรทุกปลาป่นRGT#15/25-26 WTK (2คัน)(หักW/Tax 190.-)</v>
          </cell>
          <cell r="G30" t="str">
            <v>บจ.พรรณแก้วขนส่ง</v>
          </cell>
          <cell r="H30" t="str">
            <v>Kbank</v>
          </cell>
          <cell r="J30">
            <v>18810</v>
          </cell>
        </row>
        <row r="31">
          <cell r="A31" t="str">
            <v>M69-05-026</v>
          </cell>
          <cell r="C31">
            <v>46148</v>
          </cell>
          <cell r="E31" t="str">
            <v>วาสนาอดิศรขนส่ง</v>
          </cell>
          <cell r="F31" t="str">
            <v>ค่าบรรทุกปลาป่นRGT#15/25-26 WTK (2คัน)(หักW/Tax 190.-)</v>
          </cell>
          <cell r="G31" t="str">
            <v xml:space="preserve">วาสนาอดิศร  </v>
          </cell>
          <cell r="H31" t="str">
            <v>TTB</v>
          </cell>
          <cell r="J31">
            <v>18810</v>
          </cell>
        </row>
        <row r="32">
          <cell r="A32" t="str">
            <v>M69-05-027</v>
          </cell>
          <cell r="C32">
            <v>46148</v>
          </cell>
          <cell r="E32" t="str">
            <v>แร่นอง(ขนส่ง)</v>
          </cell>
          <cell r="F32" t="str">
            <v>ค่าบรรทุกปลาป่นRGT#15/25-26 WTK (2คัน)(หักW/Tax 190.-)</v>
          </cell>
          <cell r="G32" t="str">
            <v>แร่นอง(ขนส่ง)</v>
          </cell>
          <cell r="H32" t="str">
            <v>SCB</v>
          </cell>
          <cell r="J32">
            <v>18810</v>
          </cell>
        </row>
        <row r="33">
          <cell r="A33" t="str">
            <v>M69-05-028</v>
          </cell>
          <cell r="C33">
            <v>46148</v>
          </cell>
          <cell r="E33" t="str">
            <v>พี่ธงชัย</v>
          </cell>
          <cell r="F33" t="str">
            <v>ค่าบรรทุกปลาป่นRGT#15/25-26 WTK (2คัน)(หักW/Tax 190.-)</v>
          </cell>
          <cell r="G33" t="str">
            <v>พี่ธงชัย</v>
          </cell>
          <cell r="H33" t="str">
            <v>Kbank</v>
          </cell>
          <cell r="J33">
            <v>18810</v>
          </cell>
        </row>
        <row r="34">
          <cell r="A34" t="str">
            <v>M69-05-029</v>
          </cell>
          <cell r="C34">
            <v>46148</v>
          </cell>
          <cell r="E34" t="str">
            <v>อันดามันขนส่ง(โกกิ้ว)</v>
          </cell>
          <cell r="F34" t="str">
            <v>ค่าบรรทุกปลาป่นRGT#15/25-26 WTK (2คัน)(หักW/Tax 190.-)</v>
          </cell>
          <cell r="G34" t="str">
            <v>อันดามันขนส่ง(โกกิ้ว)</v>
          </cell>
          <cell r="H34" t="str">
            <v>TTB</v>
          </cell>
          <cell r="J34">
            <v>18810</v>
          </cell>
        </row>
        <row r="35">
          <cell r="A35" t="str">
            <v>M69-05-030</v>
          </cell>
          <cell r="C35">
            <v>46148</v>
          </cell>
          <cell r="E35" t="str">
            <v>หจก.เอส.เอ็ม.พี ระนองเทรดดิ้ง</v>
          </cell>
          <cell r="F35" t="str">
            <v>ค่าบรรทุกปลาป่นRGT#15/25-26 WTK (4คัน)(หักW/Tax 380.-)</v>
          </cell>
          <cell r="G35" t="str">
            <v>หจก.เอส.เอ็ม.พี ระนองเทรดดิ้ง</v>
          </cell>
          <cell r="H35" t="str">
            <v>KTB</v>
          </cell>
          <cell r="J35">
            <v>37620</v>
          </cell>
        </row>
        <row r="36">
          <cell r="A36" t="str">
            <v>035/1738</v>
          </cell>
          <cell r="C36">
            <v>46149</v>
          </cell>
          <cell r="E36" t="str">
            <v>HHT-S</v>
          </cell>
          <cell r="F36" t="str">
            <v>รับค่าของ</v>
          </cell>
          <cell r="H36" t="e">
            <v>#N/A</v>
          </cell>
          <cell r="I36">
            <v>143040</v>
          </cell>
        </row>
        <row r="37">
          <cell r="A37" t="str">
            <v>M69-05-031</v>
          </cell>
          <cell r="C37">
            <v>46149</v>
          </cell>
          <cell r="E37" t="str">
            <v>โกต้งส่วนตัว</v>
          </cell>
          <cell r="F37" t="str">
            <v>ค่าของ 4.) (อาหารไก่, ตาข่ายกรองแสง,สปริงฯ)</v>
          </cell>
          <cell r="G37" t="str">
            <v>บจ.มานิตย์ระนองการเกษตร</v>
          </cell>
          <cell r="H37" t="str">
            <v>SCB</v>
          </cell>
          <cell r="J37">
            <v>4950</v>
          </cell>
        </row>
        <row r="38">
          <cell r="A38" t="str">
            <v>M69-05-032</v>
          </cell>
          <cell r="C38">
            <v>46149</v>
          </cell>
          <cell r="E38" t="str">
            <v>KSส่วนตัว (โกตาต้า)</v>
          </cell>
          <cell r="F38" t="str">
            <v>เบิกเงิน</v>
          </cell>
          <cell r="G38" t="str">
            <v>MR.ZAW MYO TUN</v>
          </cell>
          <cell r="H38" t="str">
            <v>BBL</v>
          </cell>
          <cell r="J38">
            <v>500000</v>
          </cell>
        </row>
        <row r="39">
          <cell r="A39" t="str">
            <v>M69-05-033</v>
          </cell>
          <cell r="C39">
            <v>46149</v>
          </cell>
          <cell r="E39" t="str">
            <v>TK-โรงกลึง</v>
          </cell>
          <cell r="F39" t="str">
            <v>ค่าซ่อมและค่าอะไหล่,เงินทุนค่าอะไหล่ฯ 4.)</v>
          </cell>
          <cell r="G39" t="str">
            <v>โกแดง</v>
          </cell>
          <cell r="H39" t="str">
            <v>KTB</v>
          </cell>
          <cell r="J39">
            <v>661712</v>
          </cell>
        </row>
        <row r="40">
          <cell r="A40" t="str">
            <v>M69-05-034</v>
          </cell>
          <cell r="C40">
            <v>46149</v>
          </cell>
          <cell r="E40" t="str">
            <v>HHT ICE-3</v>
          </cell>
          <cell r="F40" t="str">
            <v>น้ำยาโฟม 5,053กก.</v>
          </cell>
          <cell r="G40" t="str">
            <v>นายสมบูรณ์ พงษ์ขยัน</v>
          </cell>
          <cell r="H40" t="str">
            <v>Kbank</v>
          </cell>
          <cell r="J40">
            <v>757950</v>
          </cell>
        </row>
        <row r="41">
          <cell r="A41" t="str">
            <v>M69-05-035</v>
          </cell>
          <cell r="C41">
            <v>46149</v>
          </cell>
          <cell r="E41" t="str">
            <v>อู่ช่างปลา</v>
          </cell>
          <cell r="F41" t="str">
            <v>ค่าซ่อมช่วงล่าง บง6505</v>
          </cell>
          <cell r="G41" t="str">
            <v xml:space="preserve">อู่ช่างปลา   </v>
          </cell>
          <cell r="H41" t="str">
            <v>TTB</v>
          </cell>
          <cell r="J41">
            <v>3850</v>
          </cell>
        </row>
        <row r="42">
          <cell r="A42" t="str">
            <v>M69-05-036</v>
          </cell>
          <cell r="C42">
            <v>46150</v>
          </cell>
          <cell r="E42" t="str">
            <v>อู่ช่างปลา</v>
          </cell>
          <cell r="F42" t="str">
            <v>ค่าแรงและค่าของซ่อมบันไดฯ 80-5271</v>
          </cell>
          <cell r="G42" t="str">
            <v xml:space="preserve">อู่ช่างปลา   </v>
          </cell>
          <cell r="H42" t="str">
            <v>TTB</v>
          </cell>
          <cell r="J42">
            <v>13440</v>
          </cell>
        </row>
        <row r="43">
          <cell r="A43" t="str">
            <v>M69-05-037</v>
          </cell>
          <cell r="C43">
            <v>46150</v>
          </cell>
          <cell r="E43" t="str">
            <v>KPS-ห้องเย็น</v>
          </cell>
          <cell r="F43" t="str">
            <v>เบิกเงินสดย่อย</v>
          </cell>
          <cell r="G43" t="str">
            <v>พี่เสง(KPS-ห้องเย็น)</v>
          </cell>
          <cell r="H43" t="str">
            <v>Kbank</v>
          </cell>
          <cell r="J43">
            <v>200000</v>
          </cell>
        </row>
        <row r="44">
          <cell r="A44" t="str">
            <v>M69-05-038</v>
          </cell>
          <cell r="C44">
            <v>46150</v>
          </cell>
          <cell r="E44" t="str">
            <v>ICE KAWTHAUNG</v>
          </cell>
          <cell r="F44" t="str">
            <v>ค่าแรงซ่อมสปีดคอนโทรล+ค่าเรือ</v>
          </cell>
          <cell r="G44" t="str">
            <v>ช่างหมู</v>
          </cell>
          <cell r="H44" t="str">
            <v>Kbank</v>
          </cell>
          <cell r="J44">
            <v>7500</v>
          </cell>
        </row>
        <row r="45">
          <cell r="A45" t="str">
            <v>M69-05-039</v>
          </cell>
          <cell r="C45">
            <v>46153</v>
          </cell>
          <cell r="E45" t="str">
            <v>โรงน้ำแข็งเจริญชัย</v>
          </cell>
          <cell r="F45" t="str">
            <v>ค่าน้ำแข็งดองปลา 4.)</v>
          </cell>
          <cell r="G45" t="str">
            <v>คุณเล็ก(ค่าน้ำแข็ง)</v>
          </cell>
          <cell r="H45" t="str">
            <v>SCB</v>
          </cell>
          <cell r="J45">
            <v>9025</v>
          </cell>
        </row>
        <row r="46">
          <cell r="A46" t="str">
            <v>M69-05-040</v>
          </cell>
          <cell r="C46">
            <v>46153</v>
          </cell>
          <cell r="E46" t="str">
            <v>โรงน้ำแข็งเจริญชัย</v>
          </cell>
          <cell r="F46" t="str">
            <v>ค่าน้ำแข็ง 4.) (30ซองx100) (วาสนาอดิศร)</v>
          </cell>
          <cell r="G46" t="str">
            <v>คุณเล็ก(ค่าน้ำแข็ง)</v>
          </cell>
          <cell r="H46" t="str">
            <v>SCB</v>
          </cell>
          <cell r="J46">
            <v>3000</v>
          </cell>
        </row>
        <row r="47">
          <cell r="A47" t="str">
            <v>M69-05-041</v>
          </cell>
          <cell r="C47">
            <v>46153</v>
          </cell>
          <cell r="E47" t="str">
            <v>ระนองลิเดอร์</v>
          </cell>
          <cell r="F47" t="str">
            <v>ค่าเครื่องดื่ม 4.)</v>
          </cell>
          <cell r="G47" t="str">
            <v xml:space="preserve">ระนองลิเดอร์ </v>
          </cell>
          <cell r="H47" t="str">
            <v>BAY</v>
          </cell>
          <cell r="J47">
            <v>9370</v>
          </cell>
        </row>
        <row r="48">
          <cell r="A48" t="str">
            <v>M69-05-042</v>
          </cell>
          <cell r="C48">
            <v>46153</v>
          </cell>
          <cell r="E48" t="str">
            <v>อู่ขวัญชีวิต</v>
          </cell>
          <cell r="F48" t="str">
            <v>ค่าซ่อมรถ 4.)</v>
          </cell>
          <cell r="G48" t="str">
            <v>อู่ขวัญชีวิต</v>
          </cell>
          <cell r="H48" t="str">
            <v>SCB</v>
          </cell>
          <cell r="J48">
            <v>46450</v>
          </cell>
        </row>
        <row r="49">
          <cell r="A49" t="str">
            <v>M69-05-043</v>
          </cell>
          <cell r="C49">
            <v>46153</v>
          </cell>
          <cell r="E49" t="str">
            <v>อันดามันขนส่ง(โกกิ้ว)</v>
          </cell>
          <cell r="F49" t="str">
            <v>ค่าบรรทุกของ 4.)</v>
          </cell>
          <cell r="G49" t="str">
            <v>อันดามันขนส่ง(โกกิ้ว)</v>
          </cell>
          <cell r="H49" t="str">
            <v>TTB</v>
          </cell>
          <cell r="J49">
            <v>2790</v>
          </cell>
        </row>
        <row r="50">
          <cell r="A50" t="str">
            <v>M69-05-044</v>
          </cell>
          <cell r="C50">
            <v>46153</v>
          </cell>
          <cell r="E50" t="str">
            <v>นพดลการไฟฟ้า</v>
          </cell>
          <cell r="F50" t="str">
            <v>ค่าแรง 4.)</v>
          </cell>
          <cell r="G50" t="str">
            <v xml:space="preserve">นพดลการไฟฟ้า </v>
          </cell>
          <cell r="H50" t="str">
            <v>SCB</v>
          </cell>
          <cell r="J50">
            <v>14700</v>
          </cell>
        </row>
        <row r="51">
          <cell r="A51" t="str">
            <v>M69-05-045</v>
          </cell>
          <cell r="C51">
            <v>46153</v>
          </cell>
          <cell r="E51" t="str">
            <v>PJ</v>
          </cell>
          <cell r="F51" t="str">
            <v>ค่าวัสดุและอุปกรณ์อื่นๆ 4.)</v>
          </cell>
          <cell r="G51" t="str">
            <v>PJ</v>
          </cell>
          <cell r="H51" t="str">
            <v>Kbank</v>
          </cell>
          <cell r="J51">
            <v>10480</v>
          </cell>
        </row>
        <row r="52">
          <cell r="A52" t="str">
            <v>M69-05-046</v>
          </cell>
          <cell r="C52">
            <v>46153</v>
          </cell>
          <cell r="E52" t="str">
            <v>มุกอะไหล่</v>
          </cell>
          <cell r="F52" t="str">
            <v>ค่าแรงและค่าของ 4.)</v>
          </cell>
          <cell r="G52" t="str">
            <v xml:space="preserve">มุกอะไหล่ </v>
          </cell>
          <cell r="H52" t="str">
            <v>SCB</v>
          </cell>
          <cell r="J52">
            <v>12800</v>
          </cell>
        </row>
        <row r="53">
          <cell r="A53" t="str">
            <v>M69-05-047</v>
          </cell>
          <cell r="C53">
            <v>46153</v>
          </cell>
          <cell r="E53" t="str">
            <v>ปั้มตันปุ้น</v>
          </cell>
          <cell r="F53" t="str">
            <v>ค่าน้ำมันดีเซล 4.) (รถน้ำ)</v>
          </cell>
          <cell r="G53" t="str">
            <v>ปั้มตันปุ้น.</v>
          </cell>
          <cell r="H53" t="str">
            <v>Kbank</v>
          </cell>
          <cell r="J53">
            <v>41370</v>
          </cell>
        </row>
        <row r="54">
          <cell r="A54" t="str">
            <v>M69-05-048</v>
          </cell>
          <cell r="C54">
            <v>46153</v>
          </cell>
          <cell r="E54" t="str">
            <v>ชัยวัฒน์การช่าง</v>
          </cell>
          <cell r="F54" t="str">
            <v>ค่าแรง 4.)</v>
          </cell>
          <cell r="G54" t="str">
            <v>ชัยวัฒน์การช่าง</v>
          </cell>
          <cell r="H54" t="str">
            <v>Kbank</v>
          </cell>
          <cell r="J54">
            <v>121795</v>
          </cell>
        </row>
        <row r="55">
          <cell r="A55" t="str">
            <v>M69-05-049</v>
          </cell>
          <cell r="C55">
            <v>46153</v>
          </cell>
          <cell r="E55" t="str">
            <v>ร้านดวงดี</v>
          </cell>
          <cell r="F55" t="str">
            <v xml:space="preserve">ค่าของ 4.) </v>
          </cell>
          <cell r="G55" t="str">
            <v>ร้านดวงดี</v>
          </cell>
          <cell r="H55" t="str">
            <v>Kbank</v>
          </cell>
          <cell r="J55">
            <v>238966</v>
          </cell>
        </row>
        <row r="56">
          <cell r="A56" t="str">
            <v>M69-05-050</v>
          </cell>
          <cell r="C56">
            <v>46153</v>
          </cell>
          <cell r="E56" t="str">
            <v>ระนองเคหะภัณฑ์</v>
          </cell>
          <cell r="F56" t="str">
            <v xml:space="preserve">ค่าของ 3.) - 4.) </v>
          </cell>
          <cell r="G56" t="str">
            <v>ระนองเคหะภัณฑ์</v>
          </cell>
          <cell r="H56" t="str">
            <v>Kbank</v>
          </cell>
          <cell r="J56">
            <v>21412</v>
          </cell>
        </row>
        <row r="57">
          <cell r="A57" t="str">
            <v>M69-05-051</v>
          </cell>
          <cell r="C57">
            <v>46153</v>
          </cell>
          <cell r="E57" t="str">
            <v>พ.เจริญยนต์</v>
          </cell>
          <cell r="F57" t="str">
            <v>ค่าอะไหล่ซ่อมรถ 4.)</v>
          </cell>
          <cell r="G57" t="str">
            <v>พ.เจริญยนต์</v>
          </cell>
          <cell r="H57" t="str">
            <v>BAY</v>
          </cell>
          <cell r="J57">
            <v>21721</v>
          </cell>
        </row>
        <row r="58">
          <cell r="A58" t="str">
            <v>M69-05-052</v>
          </cell>
          <cell r="C58">
            <v>46153</v>
          </cell>
          <cell r="E58" t="str">
            <v>U SOE THEIN (YST)</v>
          </cell>
          <cell r="F58" t="str">
            <v>ค่าของ 4.)</v>
          </cell>
          <cell r="G58" t="str">
            <v>พรชัยอะไหล่</v>
          </cell>
          <cell r="H58" t="str">
            <v>Kbank</v>
          </cell>
          <cell r="J58">
            <v>600091</v>
          </cell>
        </row>
        <row r="59">
          <cell r="A59" t="str">
            <v>M69-05-053</v>
          </cell>
          <cell r="C59">
            <v>46153</v>
          </cell>
          <cell r="E59" t="str">
            <v>โกต้งส่วนตัว</v>
          </cell>
          <cell r="F59" t="str">
            <v>ค่าเหล็ก 2.) (เขานายัง)</v>
          </cell>
          <cell r="G59" t="str">
            <v xml:space="preserve">โลหะไพโรจน์ </v>
          </cell>
          <cell r="H59" t="str">
            <v>BBL</v>
          </cell>
          <cell r="J59">
            <v>910</v>
          </cell>
        </row>
        <row r="60">
          <cell r="C60">
            <v>46154</v>
          </cell>
          <cell r="E60" t="str">
            <v>BBL 966-1</v>
          </cell>
          <cell r="F60" t="str">
            <v>นำเงินเข้าบัญชี</v>
          </cell>
          <cell r="H60" t="e">
            <v>#N/A</v>
          </cell>
          <cell r="I60">
            <v>3000000</v>
          </cell>
        </row>
        <row r="61">
          <cell r="A61" t="str">
            <v>M69-05-054</v>
          </cell>
          <cell r="C61">
            <v>46154</v>
          </cell>
          <cell r="E61" t="str">
            <v>สำรองเจ้าหน้าที่</v>
          </cell>
          <cell r="F61" t="str">
            <v>รับรองแขก (โกหย่งแจ้งให้โอนคะ)</v>
          </cell>
          <cell r="G61" t="str">
            <v>พี่เบิ้ล</v>
          </cell>
          <cell r="H61" t="str">
            <v>BBL</v>
          </cell>
          <cell r="J61">
            <v>170000</v>
          </cell>
        </row>
        <row r="62">
          <cell r="C62">
            <v>46154</v>
          </cell>
          <cell r="E62" t="str">
            <v>Yส่วนตัว</v>
          </cell>
          <cell r="F62" t="str">
            <v>รับรองแขก (โกหย่งแจ้งให้โอนคะ)</v>
          </cell>
          <cell r="G62" t="str">
            <v>พี่เบิ้ล</v>
          </cell>
          <cell r="H62" t="str">
            <v>BBL</v>
          </cell>
          <cell r="J62">
            <v>30000</v>
          </cell>
        </row>
        <row r="63">
          <cell r="A63" t="str">
            <v>035/1743</v>
          </cell>
          <cell r="C63">
            <v>46155</v>
          </cell>
          <cell r="E63" t="str">
            <v>ตู๋</v>
          </cell>
          <cell r="F63" t="str">
            <v>รับค่าผ่านแพ ค่าเครน + ค่าด่านชั่ง - เงินเดือนท่าเรือ</v>
          </cell>
          <cell r="H63" t="e">
            <v>#N/A</v>
          </cell>
          <cell r="I63">
            <v>1751101</v>
          </cell>
        </row>
        <row r="64">
          <cell r="F64" t="str">
            <v xml:space="preserve"> - กรรมกรแทงปลาป่น - ค่าใช้จ่าย - สำรองจ่ายโกต้ง 4.)</v>
          </cell>
          <cell r="H64" t="e">
            <v>#N/A</v>
          </cell>
          <cell r="I64">
            <v>1500000</v>
          </cell>
        </row>
        <row r="65">
          <cell r="A65" t="str">
            <v>M69-05-055</v>
          </cell>
          <cell r="C65">
            <v>46155</v>
          </cell>
          <cell r="E65" t="str">
            <v>แพกลุ่มเกษตร</v>
          </cell>
          <cell r="F65" t="str">
            <v>ค่าคอนกรีต 4.)</v>
          </cell>
          <cell r="G65" t="str">
            <v>บจ.กิจไพศาลคอนกรีต</v>
          </cell>
          <cell r="H65" t="str">
            <v>TTB</v>
          </cell>
          <cell r="J65">
            <v>23862</v>
          </cell>
        </row>
        <row r="66">
          <cell r="C66">
            <v>46155</v>
          </cell>
          <cell r="E66" t="str">
            <v>โกต้งส่วนตัว</v>
          </cell>
          <cell r="F66" t="str">
            <v>ค่าคอนกรีต 4.) (กรีนรีไซเคิล)</v>
          </cell>
          <cell r="G66" t="str">
            <v>บจ.กิจไพศาลคอนกรีต</v>
          </cell>
          <cell r="H66" t="str">
            <v>TTB</v>
          </cell>
          <cell r="J66">
            <v>17343</v>
          </cell>
        </row>
        <row r="67">
          <cell r="A67" t="str">
            <v>M69-05-056</v>
          </cell>
          <cell r="C67">
            <v>46155</v>
          </cell>
          <cell r="E67" t="str">
            <v>โกต้งส่วนตัว</v>
          </cell>
          <cell r="F67" t="str">
            <v>ค่าของ 4.) (ทราย,ไม้กวาดทางมะพร้าว)</v>
          </cell>
          <cell r="G67" t="str">
            <v xml:space="preserve">กิจไพศาลวัสดุ  </v>
          </cell>
          <cell r="H67" t="str">
            <v>Kbank</v>
          </cell>
          <cell r="J67">
            <v>160</v>
          </cell>
        </row>
        <row r="68">
          <cell r="A68" t="str">
            <v>M69-05-057</v>
          </cell>
          <cell r="C68">
            <v>46155</v>
          </cell>
          <cell r="E68" t="str">
            <v>โกต้งส่วนตัว</v>
          </cell>
          <cell r="F68" t="str">
            <v>ค่าของ 4.) (เหล็ก(กล่อง+ข้ออ้อย+เส้น),ปั้มMITSU,ท่อPVC,สีฯ)</v>
          </cell>
          <cell r="G68" t="str">
            <v>บจ.กิจไพศาลวัสดุ</v>
          </cell>
          <cell r="H68" t="str">
            <v>Kbank</v>
          </cell>
          <cell r="J68">
            <v>143692</v>
          </cell>
        </row>
        <row r="69">
          <cell r="A69" t="str">
            <v>M69-05-058</v>
          </cell>
          <cell r="C69">
            <v>46155</v>
          </cell>
          <cell r="E69" t="str">
            <v>M-SHOP</v>
          </cell>
          <cell r="F69" t="str">
            <v xml:space="preserve">ส่วนต่างค่าอวนดำ </v>
          </cell>
          <cell r="G69" t="str">
            <v xml:space="preserve">บจ.อวนไทย </v>
          </cell>
          <cell r="H69" t="str">
            <v>Kbank</v>
          </cell>
          <cell r="J69">
            <v>6560</v>
          </cell>
        </row>
        <row r="70">
          <cell r="A70" t="str">
            <v>M69-05-059</v>
          </cell>
          <cell r="C70">
            <v>46155</v>
          </cell>
          <cell r="E70" t="str">
            <v>MV.001</v>
          </cell>
          <cell r="F70" t="str">
            <v>สายยก 2เส้น</v>
          </cell>
          <cell r="G70" t="str">
            <v>บจ.เลิศสยามสตีล K</v>
          </cell>
          <cell r="H70" t="str">
            <v>Kbank</v>
          </cell>
          <cell r="J70">
            <v>2140</v>
          </cell>
        </row>
        <row r="71">
          <cell r="C71">
            <v>46155</v>
          </cell>
          <cell r="E71" t="str">
            <v>PT(1)</v>
          </cell>
          <cell r="F71" t="str">
            <v>เหล็กแผ่น, เหล็กฉาก, ลวดเชื่อม</v>
          </cell>
          <cell r="G71" t="str">
            <v>บจ.เลิศสยามสตีล K</v>
          </cell>
          <cell r="H71" t="str">
            <v>Kbank</v>
          </cell>
          <cell r="J71">
            <v>31811</v>
          </cell>
        </row>
        <row r="72">
          <cell r="A72" t="str">
            <v>M69-05-060</v>
          </cell>
          <cell r="C72">
            <v>46155</v>
          </cell>
          <cell r="E72" t="str">
            <v>PT(1)</v>
          </cell>
          <cell r="F72" t="str">
            <v>สีJOTUN, ทินเนอร์</v>
          </cell>
          <cell r="G72" t="str">
            <v>หจก.เกษมพงษ์รัตน์</v>
          </cell>
          <cell r="H72" t="str">
            <v>Kbank</v>
          </cell>
          <cell r="J72">
            <v>20116</v>
          </cell>
        </row>
        <row r="73">
          <cell r="A73" t="str">
            <v>M69-05-061</v>
          </cell>
          <cell r="C73">
            <v>46155</v>
          </cell>
          <cell r="E73" t="str">
            <v>HHT ICE-3</v>
          </cell>
          <cell r="F73" t="str">
            <v>พลาสติกใสปูพื้น 20 ม้วน</v>
          </cell>
          <cell r="G73" t="str">
            <v>บจ.ไถ่เชียงระนอง</v>
          </cell>
          <cell r="H73" t="str">
            <v>Kbank</v>
          </cell>
          <cell r="J73">
            <v>9000</v>
          </cell>
        </row>
        <row r="74">
          <cell r="C74">
            <v>46155</v>
          </cell>
          <cell r="E74" t="str">
            <v>KPS-ท่าเรือเขานางหงส์</v>
          </cell>
          <cell r="F74" t="str">
            <v>บันไดอลูมิเนียม 8 ฟุต 1 ชิ้น</v>
          </cell>
          <cell r="G74" t="str">
            <v>บจ.ไถ่เชียงระนอง</v>
          </cell>
          <cell r="H74" t="str">
            <v>Kbank</v>
          </cell>
          <cell r="J74">
            <v>2980</v>
          </cell>
        </row>
        <row r="75">
          <cell r="A75" t="str">
            <v>M69-05-062</v>
          </cell>
          <cell r="C75">
            <v>46155</v>
          </cell>
          <cell r="E75" t="str">
            <v>ICE KAWTHAUNG</v>
          </cell>
          <cell r="F75" t="str">
            <v>กาวาเนอร์คอนโทรล</v>
          </cell>
          <cell r="G75" t="str">
            <v xml:space="preserve">บจ.เจริญยนต์ไทยพัฒนา </v>
          </cell>
          <cell r="H75" t="e">
            <v>#N/A</v>
          </cell>
          <cell r="J75">
            <v>4320</v>
          </cell>
        </row>
        <row r="76">
          <cell r="A76" t="str">
            <v>M69-05-063</v>
          </cell>
          <cell r="C76">
            <v>46156</v>
          </cell>
          <cell r="E76" t="str">
            <v>CH-Exp</v>
          </cell>
          <cell r="F76" t="str">
            <v>เบิกค่าใช้จ่าย 4.)</v>
          </cell>
          <cell r="G76" t="str">
            <v>คุณเล็ก(แฟนโกช่อง)</v>
          </cell>
          <cell r="H76" t="str">
            <v>SCB</v>
          </cell>
          <cell r="J76">
            <v>206635</v>
          </cell>
        </row>
        <row r="77">
          <cell r="H77" t="e">
            <v>#N/A</v>
          </cell>
        </row>
        <row r="78">
          <cell r="H78" t="e">
            <v>#N/A</v>
          </cell>
        </row>
        <row r="79">
          <cell r="A79" t="str">
            <v>M69-05-064</v>
          </cell>
          <cell r="C79">
            <v>46157</v>
          </cell>
          <cell r="E79" t="str">
            <v>กิจไพศาลวัสดุ</v>
          </cell>
          <cell r="F79" t="str">
            <v>ค่าของ 4.)</v>
          </cell>
          <cell r="G79" t="str">
            <v xml:space="preserve">กิจไพศาลวัสดุ  </v>
          </cell>
          <cell r="H79" t="str">
            <v>Kbank</v>
          </cell>
          <cell r="J79">
            <v>15</v>
          </cell>
        </row>
        <row r="80">
          <cell r="A80" t="str">
            <v>M69-05-065</v>
          </cell>
          <cell r="C80">
            <v>46157</v>
          </cell>
          <cell r="E80" t="str">
            <v>กิจไพศาลวัสดุ</v>
          </cell>
          <cell r="F80" t="str">
            <v>ค่าของ 4.)</v>
          </cell>
          <cell r="G80" t="str">
            <v>บจ.กิจไพศาลวัสดุ</v>
          </cell>
          <cell r="H80" t="str">
            <v>Kbank</v>
          </cell>
          <cell r="J80">
            <v>23437</v>
          </cell>
        </row>
        <row r="81">
          <cell r="A81" t="str">
            <v>M69-05-066</v>
          </cell>
          <cell r="C81">
            <v>46157</v>
          </cell>
          <cell r="E81" t="str">
            <v>UTK เรือรวม</v>
          </cell>
          <cell r="F81" t="str">
            <v>เงินเดือนช่างรวม (1-15/5/2026)</v>
          </cell>
          <cell r="G81" t="str">
            <v>ช่างรวม</v>
          </cell>
          <cell r="H81" t="str">
            <v>Kbank</v>
          </cell>
          <cell r="J81">
            <v>22500</v>
          </cell>
        </row>
        <row r="82">
          <cell r="A82" t="str">
            <v>M69-05-067</v>
          </cell>
          <cell r="C82">
            <v>46157</v>
          </cell>
          <cell r="E82" t="str">
            <v>M-SHOP</v>
          </cell>
          <cell r="F82" t="str">
            <v>สังกะสีกันกร่อน 150ก้อน</v>
          </cell>
          <cell r="G82" t="str">
            <v>บจ.พีดับบลิว อินเตอร์มาร์ท</v>
          </cell>
          <cell r="H82" t="str">
            <v>SCB</v>
          </cell>
          <cell r="J82">
            <v>116100</v>
          </cell>
        </row>
        <row r="83">
          <cell r="A83" t="str">
            <v>M69-05-068</v>
          </cell>
          <cell r="C83">
            <v>46157</v>
          </cell>
          <cell r="E83" t="str">
            <v>YNTZ CONCRETE ทำงาน</v>
          </cell>
          <cell r="F83" t="str">
            <v>กิ๊บดึงลวด</v>
          </cell>
          <cell r="G83" t="str">
            <v>บจ.พีอาร์วิศวกรรม K</v>
          </cell>
          <cell r="H83" t="str">
            <v>Kbank</v>
          </cell>
          <cell r="J83">
            <v>2247</v>
          </cell>
        </row>
        <row r="84">
          <cell r="A84" t="str">
            <v>M69-05-069</v>
          </cell>
          <cell r="C84">
            <v>46157</v>
          </cell>
          <cell r="E84" t="str">
            <v>โกโรจน์(ถัง)</v>
          </cell>
          <cell r="F84" t="str">
            <v>ถัง200Lit (162ใบx3,300.-)</v>
          </cell>
          <cell r="G84" t="str">
            <v>โกโรจน์ (ถัง)</v>
          </cell>
          <cell r="H84" t="str">
            <v>Kbank</v>
          </cell>
          <cell r="J84">
            <v>534600</v>
          </cell>
        </row>
        <row r="85">
          <cell r="A85" t="str">
            <v>M69-05-070</v>
          </cell>
          <cell r="C85">
            <v>46160</v>
          </cell>
          <cell r="E85" t="str">
            <v>สำรองเจ้าหน้าที่</v>
          </cell>
          <cell r="F85" t="str">
            <v>ค่าปลา 3.)-4.) (ผู้ว่าฯ, ผู้การฯ)</v>
          </cell>
          <cell r="G85" t="str">
            <v>โกชุ้น</v>
          </cell>
          <cell r="H85" t="str">
            <v>Kbank</v>
          </cell>
          <cell r="J85">
            <v>8972</v>
          </cell>
        </row>
        <row r="86">
          <cell r="A86" t="str">
            <v>M69-05-071</v>
          </cell>
          <cell r="C86">
            <v>46160</v>
          </cell>
          <cell r="E86" t="str">
            <v>ช่างเยื้อน</v>
          </cell>
          <cell r="F86" t="str">
            <v>ค่าแรงซ่อมเรือPT-1 (หักเบิกเงินสด 30,000)</v>
          </cell>
          <cell r="G86" t="str">
            <v>ช่างเยื้อน</v>
          </cell>
          <cell r="H86" t="str">
            <v>BBL</v>
          </cell>
          <cell r="J86">
            <v>52500</v>
          </cell>
        </row>
        <row r="87">
          <cell r="A87" t="str">
            <v>M69-05-072</v>
          </cell>
          <cell r="C87">
            <v>46160</v>
          </cell>
          <cell r="E87" t="str">
            <v>KPS-ท่าเรือเขานางหงส์</v>
          </cell>
          <cell r="F87" t="str">
            <v>ค่าภาษี,ค่าจัดการ,ธรรมเนียม,บริการ (80-5479)</v>
          </cell>
          <cell r="G87" t="str">
            <v>น.ส.ชุฤณี  เอี่ยมองค์</v>
          </cell>
          <cell r="H87" t="str">
            <v>Kbank</v>
          </cell>
          <cell r="J87">
            <v>6172</v>
          </cell>
        </row>
        <row r="88">
          <cell r="A88" t="str">
            <v>M69-05-073</v>
          </cell>
          <cell r="C88">
            <v>46161</v>
          </cell>
          <cell r="E88" t="str">
            <v>CH-Exp</v>
          </cell>
          <cell r="F88" t="str">
            <v>ภาษีที่ดินและสิ่งปลูกสร้าง ปี 2569(บ้านซ.นกเขา)</v>
          </cell>
          <cell r="G88" t="str">
            <v>เทศบาลเมืองบางริ้น</v>
          </cell>
          <cell r="H88" t="str">
            <v>QRCode</v>
          </cell>
          <cell r="J88">
            <v>12.66</v>
          </cell>
        </row>
        <row r="89">
          <cell r="A89" t="str">
            <v>M69-05-074</v>
          </cell>
          <cell r="C89">
            <v>46161</v>
          </cell>
          <cell r="E89" t="str">
            <v>KSส่วนตัว (โกตาต้า)</v>
          </cell>
          <cell r="F89" t="str">
            <v>เบิกเงิน</v>
          </cell>
          <cell r="G89" t="str">
            <v>MS.YIN YIN HTIKE</v>
          </cell>
          <cell r="H89" t="str">
            <v>BBL</v>
          </cell>
          <cell r="J89">
            <v>500000</v>
          </cell>
        </row>
        <row r="90">
          <cell r="A90" t="str">
            <v>M69-05-075</v>
          </cell>
          <cell r="C90">
            <v>46161</v>
          </cell>
          <cell r="E90" t="str">
            <v>Ko Than Win(z)</v>
          </cell>
          <cell r="F90" t="str">
            <v>โอนเงิน  (จี้แดง) (19/5)</v>
          </cell>
          <cell r="G90" t="str">
            <v>จี้เมธ์ .</v>
          </cell>
          <cell r="H90" t="str">
            <v>BBL</v>
          </cell>
          <cell r="J90">
            <v>200000</v>
          </cell>
        </row>
        <row r="91">
          <cell r="A91" t="str">
            <v>M69-05-076</v>
          </cell>
          <cell r="C91">
            <v>46161</v>
          </cell>
          <cell r="E91" t="str">
            <v>Yส่วนตัว</v>
          </cell>
          <cell r="F91" t="str">
            <v>ต่อเติมบ้านชาญอิสระ งวดที่1</v>
          </cell>
          <cell r="G91" t="str">
            <v>พี่เบิ้ล</v>
          </cell>
          <cell r="H91" t="str">
            <v>BBL</v>
          </cell>
          <cell r="J91">
            <v>105000</v>
          </cell>
        </row>
        <row r="92">
          <cell r="A92" t="str">
            <v>M69-05-077</v>
          </cell>
          <cell r="C92">
            <v>46161</v>
          </cell>
          <cell r="E92" t="str">
            <v>M-SHOP</v>
          </cell>
          <cell r="F92" t="str">
            <v>ส่วนต่างเชือกใยยักษ์,อวนไนล่อน</v>
          </cell>
          <cell r="G92" t="str">
            <v xml:space="preserve">บจ.อวนไทย </v>
          </cell>
          <cell r="H92" t="str">
            <v>Kbank</v>
          </cell>
          <cell r="J92">
            <v>8606</v>
          </cell>
        </row>
        <row r="93">
          <cell r="A93" t="str">
            <v>M69-05-078</v>
          </cell>
          <cell r="C93">
            <v>46161</v>
          </cell>
          <cell r="E93" t="str">
            <v>YNTZ ICE</v>
          </cell>
          <cell r="F93" t="str">
            <v>อะไหล่รอก</v>
          </cell>
          <cell r="G93" t="str">
            <v>บจ.ย่งฮงประเทศไทย</v>
          </cell>
          <cell r="H93" t="str">
            <v>Kbank</v>
          </cell>
          <cell r="J93">
            <v>11556</v>
          </cell>
        </row>
        <row r="94">
          <cell r="A94" t="str">
            <v>M69-05-079</v>
          </cell>
          <cell r="C94">
            <v>46161</v>
          </cell>
          <cell r="E94" t="str">
            <v>M-SHOP</v>
          </cell>
          <cell r="F94" t="str">
            <v>บอลวาล์วหน้าแปลนสแตนเลส</v>
          </cell>
          <cell r="G94" t="str">
            <v>หจก.ฮะเซ้งพาณิชย์</v>
          </cell>
          <cell r="H94" t="str">
            <v>Kbank</v>
          </cell>
          <cell r="J94">
            <v>52681</v>
          </cell>
        </row>
        <row r="95">
          <cell r="A95" t="str">
            <v>M69-05-080</v>
          </cell>
          <cell r="C95">
            <v>46161</v>
          </cell>
          <cell r="E95" t="str">
            <v>PT(1)</v>
          </cell>
          <cell r="F95" t="str">
            <v>สีJOTUN, ทินเนอร์</v>
          </cell>
          <cell r="G95" t="str">
            <v>หจก.เกษมพงษ์รัตน์</v>
          </cell>
          <cell r="H95" t="str">
            <v>Kbank</v>
          </cell>
          <cell r="J95">
            <v>83701</v>
          </cell>
        </row>
        <row r="96">
          <cell r="A96" t="str">
            <v>M69-05-081</v>
          </cell>
          <cell r="C96">
            <v>46161</v>
          </cell>
          <cell r="E96" t="str">
            <v>KPS-ท่าเรือเขานางหงส์</v>
          </cell>
          <cell r="F96" t="str">
            <v>โวลีน AWE ไฮโดรลิค ออยล์</v>
          </cell>
          <cell r="G96" t="str">
            <v>บจ.วีอาร์. วาเลอร์</v>
          </cell>
          <cell r="H96" t="str">
            <v>BBL</v>
          </cell>
          <cell r="J96">
            <v>13740</v>
          </cell>
        </row>
        <row r="97">
          <cell r="A97" t="str">
            <v>M69-05-082</v>
          </cell>
          <cell r="C97">
            <v>46161</v>
          </cell>
          <cell r="E97" t="str">
            <v>M-SHOP</v>
          </cell>
          <cell r="F97" t="str">
            <v>หลอดไฟ,ขั้วกันน้ำ ฯ</v>
          </cell>
          <cell r="G97" t="str">
            <v>บจ.เทพศิริ</v>
          </cell>
          <cell r="H97" t="str">
            <v>BBL</v>
          </cell>
          <cell r="J97">
            <v>72900</v>
          </cell>
        </row>
        <row r="98">
          <cell r="A98" t="str">
            <v>M69-05-083</v>
          </cell>
          <cell r="C98">
            <v>46161</v>
          </cell>
          <cell r="E98" t="str">
            <v>PT(1)</v>
          </cell>
          <cell r="F98" t="str">
            <v>แป๊ป, เพลา</v>
          </cell>
          <cell r="G98" t="str">
            <v>บจ.เลิศสยามสตีล K</v>
          </cell>
          <cell r="H98" t="str">
            <v>Kbank</v>
          </cell>
          <cell r="J98">
            <v>5778</v>
          </cell>
        </row>
        <row r="99">
          <cell r="A99" t="str">
            <v>M69-05-084</v>
          </cell>
          <cell r="C99">
            <v>46161</v>
          </cell>
          <cell r="E99" t="str">
            <v>KPS-ห้องเย็น</v>
          </cell>
          <cell r="F99" t="str">
            <v>เบิกเงินสดย่อย</v>
          </cell>
          <cell r="G99" t="str">
            <v>พี่เสง(KPS-ห้องเย็น)</v>
          </cell>
          <cell r="H99" t="str">
            <v>Kbank</v>
          </cell>
          <cell r="J99">
            <v>400000</v>
          </cell>
        </row>
        <row r="100">
          <cell r="A100" t="str">
            <v>M69-05-085</v>
          </cell>
          <cell r="C100">
            <v>46161</v>
          </cell>
          <cell r="E100" t="str">
            <v>โกต้งส่วนตัว</v>
          </cell>
          <cell r="F100" t="str">
            <v>ติดตั้งเสา,เชื่อมหลังคา,มุงหลังคา (กรีนรีไซเคิล)</v>
          </cell>
          <cell r="G100" t="str">
            <v>ช่างวี</v>
          </cell>
          <cell r="H100" t="str">
            <v>Kbank</v>
          </cell>
          <cell r="J100">
            <v>110590</v>
          </cell>
        </row>
        <row r="101">
          <cell r="A101" t="str">
            <v>M69-05-086</v>
          </cell>
          <cell r="C101">
            <v>46161</v>
          </cell>
          <cell r="E101" t="str">
            <v>โกต้งส่วนตัว</v>
          </cell>
          <cell r="F101" t="str">
            <v>บัวพื้นล่าง,ลูกบิดก้านโยก,นิปปอน (เขานายัง)</v>
          </cell>
          <cell r="G101" t="str">
            <v>บจ.ไถ่เชียงระนอง</v>
          </cell>
          <cell r="H101" t="str">
            <v>Kbank</v>
          </cell>
          <cell r="J101">
            <v>12032</v>
          </cell>
        </row>
        <row r="102">
          <cell r="A102" t="str">
            <v>M69-05-087</v>
          </cell>
          <cell r="C102">
            <v>46162</v>
          </cell>
          <cell r="E102" t="str">
            <v>คานเรือโกตา</v>
          </cell>
          <cell r="F102" t="str">
            <v>ค่าเรือPT1ขึ้นคานซ่อม</v>
          </cell>
          <cell r="G102" t="str">
            <v>บจ.สินทองคำพาณิชย์</v>
          </cell>
          <cell r="H102" t="str">
            <v>Kbank</v>
          </cell>
          <cell r="J102">
            <v>133900</v>
          </cell>
        </row>
        <row r="103">
          <cell r="A103" t="str">
            <v>M69-05-088</v>
          </cell>
          <cell r="C103">
            <v>46162</v>
          </cell>
          <cell r="E103" t="str">
            <v>อู่นิพนธ์</v>
          </cell>
          <cell r="F103" t="str">
            <v>ค่าซ่อมเรือPT1</v>
          </cell>
          <cell r="G103" t="str">
            <v>อู่นิพนธ์</v>
          </cell>
          <cell r="H103" t="str">
            <v>Kbank</v>
          </cell>
          <cell r="J103">
            <v>8500</v>
          </cell>
        </row>
        <row r="104">
          <cell r="A104" t="str">
            <v>M69-05-089</v>
          </cell>
          <cell r="C104">
            <v>46163</v>
          </cell>
          <cell r="E104" t="str">
            <v>โกต้งส่วนตัว</v>
          </cell>
          <cell r="F104" t="str">
            <v xml:space="preserve">ถังสแตนเลส 12,000ลิตร </v>
          </cell>
          <cell r="G104" t="str">
            <v xml:space="preserve">รวย รวย บริการ </v>
          </cell>
          <cell r="H104" t="str">
            <v>BBL</v>
          </cell>
          <cell r="J104">
            <v>120000</v>
          </cell>
        </row>
        <row r="105">
          <cell r="A105" t="str">
            <v>M69-05-090</v>
          </cell>
          <cell r="C105">
            <v>46163</v>
          </cell>
          <cell r="E105" t="str">
            <v>ช่างเดช-ต่อเรือเหล็ก(พ่นทราย)</v>
          </cell>
          <cell r="F105" t="str">
            <v>ค่าแรงต่อเรืองวดที่1 (LB-9, LB-10)</v>
          </cell>
          <cell r="G105" t="str">
            <v>น.ส.นภฤชา ปิ่นรัตนกุล (ช่างเดช)</v>
          </cell>
          <cell r="H105" t="str">
            <v>Kbank</v>
          </cell>
          <cell r="J105">
            <v>792000</v>
          </cell>
        </row>
        <row r="106">
          <cell r="A106" t="str">
            <v>M69-05-091</v>
          </cell>
          <cell r="C106">
            <v>46163</v>
          </cell>
          <cell r="E106" t="str">
            <v>ช่างพร</v>
          </cell>
          <cell r="F106" t="str">
            <v>เบิกเงินล่วงหน้า(โกเจี้ยวรับทราบ)</v>
          </cell>
          <cell r="G106" t="str">
            <v>ช่างพร</v>
          </cell>
          <cell r="H106" t="str">
            <v>BBL</v>
          </cell>
          <cell r="J106">
            <v>60000</v>
          </cell>
        </row>
        <row r="107">
          <cell r="A107" t="str">
            <v>M69-05-092</v>
          </cell>
          <cell r="C107">
            <v>46163</v>
          </cell>
          <cell r="E107" t="str">
            <v>M-SHOP</v>
          </cell>
          <cell r="F107" t="str">
            <v>น้ำกรดเติมแบตเตอรี่,ถังน้ำกรด</v>
          </cell>
          <cell r="G107" t="str">
            <v>บจ.ลี้เซียฮวด</v>
          </cell>
          <cell r="H107" t="str">
            <v>BBL</v>
          </cell>
          <cell r="J107">
            <v>33000</v>
          </cell>
        </row>
        <row r="108">
          <cell r="A108" t="str">
            <v>M69-05-093</v>
          </cell>
          <cell r="C108">
            <v>46163</v>
          </cell>
          <cell r="E108" t="str">
            <v>M-SHOP</v>
          </cell>
          <cell r="F108" t="str">
            <v>สีเสน 3ถุง</v>
          </cell>
          <cell r="G108" t="str">
            <v>คุณวิเชียร  บุตรศรี</v>
          </cell>
          <cell r="H108" t="str">
            <v>BBL</v>
          </cell>
          <cell r="J108">
            <v>13500</v>
          </cell>
        </row>
        <row r="109">
          <cell r="A109" t="str">
            <v>M69-05-094</v>
          </cell>
          <cell r="C109">
            <v>46163</v>
          </cell>
          <cell r="E109" t="str">
            <v>M-SHOP</v>
          </cell>
          <cell r="F109" t="str">
            <v>Breaker Panasonic, ปลั๊กเสียบ</v>
          </cell>
          <cell r="G109" t="str">
            <v>บจ.เอสเคยูนิเวอร์เซล</v>
          </cell>
          <cell r="H109" t="str">
            <v>BBL</v>
          </cell>
          <cell r="J109">
            <v>7600</v>
          </cell>
        </row>
        <row r="110">
          <cell r="A110" t="str">
            <v>M69-05-095</v>
          </cell>
          <cell r="C110">
            <v>46163</v>
          </cell>
          <cell r="E110" t="str">
            <v>M-SHOP</v>
          </cell>
          <cell r="F110" t="str">
            <v>ชันฝรั่งปะการัง 540ชุด</v>
          </cell>
          <cell r="G110" t="str">
            <v>คุณภาวิณี ลีละบรรยงค์</v>
          </cell>
          <cell r="H110" t="str">
            <v>กรุงศรี</v>
          </cell>
          <cell r="J110">
            <v>648000</v>
          </cell>
        </row>
        <row r="111">
          <cell r="A111" t="str">
            <v>M69-05-096</v>
          </cell>
          <cell r="C111">
            <v>46163</v>
          </cell>
          <cell r="E111" t="str">
            <v>ค่าผ่านแพกิจไพศาล</v>
          </cell>
          <cell r="F111" t="str">
            <v>ให้โกเหน่งใช้ 5.)</v>
          </cell>
          <cell r="G111" t="str">
            <v>จี้หม่วย(ค่าผ่านแพ)</v>
          </cell>
          <cell r="H111" t="str">
            <v>Kbank</v>
          </cell>
          <cell r="J111">
            <v>15000</v>
          </cell>
        </row>
        <row r="112">
          <cell r="A112" t="str">
            <v>M69-05-097</v>
          </cell>
          <cell r="C112">
            <v>46163</v>
          </cell>
          <cell r="E112" t="str">
            <v>OFF</v>
          </cell>
          <cell r="F112" t="str">
            <v>ค่าอินเตอร์เน็ต RGT 4.)</v>
          </cell>
          <cell r="G112" t="str">
            <v>TRUE ONLINE</v>
          </cell>
          <cell r="H112" t="b">
            <v>1</v>
          </cell>
          <cell r="J112">
            <v>854.93</v>
          </cell>
        </row>
        <row r="113">
          <cell r="A113" t="str">
            <v>035/1750</v>
          </cell>
          <cell r="C113">
            <v>46164</v>
          </cell>
          <cell r="E113" t="str">
            <v>ก้อง</v>
          </cell>
          <cell r="F113" t="str">
            <v>คืนเงินยืม</v>
          </cell>
          <cell r="H113" t="e">
            <v>#N/A</v>
          </cell>
          <cell r="I113">
            <v>2000</v>
          </cell>
        </row>
        <row r="114">
          <cell r="A114" t="str">
            <v>M69-05-098</v>
          </cell>
          <cell r="C114">
            <v>46164</v>
          </cell>
          <cell r="E114" t="str">
            <v>รถน้ำ</v>
          </cell>
          <cell r="F114" t="str">
            <v>ค่าบริการGPS(20/6/26-19/6/27) 80-4293</v>
          </cell>
          <cell r="G114" t="str">
            <v>บจ.โมบาย อินโนเวชั่น</v>
          </cell>
          <cell r="H114" t="str">
            <v>Kbank</v>
          </cell>
          <cell r="J114">
            <v>2675</v>
          </cell>
        </row>
        <row r="115">
          <cell r="A115" t="str">
            <v>036/1751</v>
          </cell>
          <cell r="C115">
            <v>46167</v>
          </cell>
          <cell r="E115" t="str">
            <v>ช่างเพชร-ขายปลา</v>
          </cell>
          <cell r="F115" t="str">
            <v>รับเงินค่าใช้จ่าย 4.)</v>
          </cell>
          <cell r="H115" t="e">
            <v>#N/A</v>
          </cell>
          <cell r="I115">
            <v>84583</v>
          </cell>
        </row>
        <row r="116">
          <cell r="A116" t="str">
            <v>M69-05-099</v>
          </cell>
          <cell r="C116">
            <v>46167</v>
          </cell>
          <cell r="E116" t="str">
            <v>KPS-ท่าเรือเขานางหงส์</v>
          </cell>
          <cell r="F116" t="str">
            <v>สนับสนุนสร้างห้องน้ำที่ศาลหลักเมืองจ.ระนอง(ผู้ว่าฯขอมา)</v>
          </cell>
          <cell r="G116" t="str">
            <v>นายสุเมท สุขสะอาด</v>
          </cell>
          <cell r="H116" t="str">
            <v>BAY</v>
          </cell>
          <cell r="J116">
            <v>50000</v>
          </cell>
        </row>
        <row r="117">
          <cell r="C117">
            <v>46167</v>
          </cell>
          <cell r="E117" t="str">
            <v>สำรองเจ้าหน้าที่</v>
          </cell>
          <cell r="F117" t="str">
            <v>สนับสนุนสร้างห้องน้ำที่ศาลหลักเมืองจ.ระนอง(ผู้ว่าฯขอมา)</v>
          </cell>
          <cell r="G117" t="str">
            <v>นายสุเมท สุขสะอาด</v>
          </cell>
          <cell r="H117" t="str">
            <v>BAY</v>
          </cell>
          <cell r="J117">
            <v>50000</v>
          </cell>
        </row>
        <row r="118">
          <cell r="A118" t="str">
            <v>M69-05-100</v>
          </cell>
          <cell r="C118">
            <v>46167</v>
          </cell>
          <cell r="E118" t="str">
            <v>KPS-ท่าเรือเขานางหงส์</v>
          </cell>
          <cell r="F118" t="str">
            <v>ค่าภาษี,ค่าจัดการ,ธรรมเนียม,ค่าบริการ (80-5144)</v>
          </cell>
          <cell r="G118" t="str">
            <v>น.ส.ชุฤณี  เอี่ยมองค์</v>
          </cell>
          <cell r="H118" t="str">
            <v>SCB</v>
          </cell>
          <cell r="J118">
            <v>5468</v>
          </cell>
        </row>
        <row r="119">
          <cell r="C119">
            <v>46167</v>
          </cell>
          <cell r="E119" t="str">
            <v>รถน้ำ</v>
          </cell>
          <cell r="F119" t="str">
            <v>ค่าภาษี,ค่าจัดการ,พรบ,ธรรมเนียม,ค่าบริการ (80-4293)</v>
          </cell>
          <cell r="G119" t="str">
            <v>น.ส.ชุฤณี  เอี่ยมองค์</v>
          </cell>
          <cell r="H119" t="str">
            <v>SCB</v>
          </cell>
          <cell r="J119">
            <v>7427</v>
          </cell>
        </row>
        <row r="120">
          <cell r="A120" t="str">
            <v>M69-05-101</v>
          </cell>
          <cell r="C120">
            <v>46167</v>
          </cell>
          <cell r="E120" t="str">
            <v>โกต้งส่วนตัว</v>
          </cell>
          <cell r="F120" t="str">
            <v>CI (WORK + VISA + บัตรสุขภาพ ) (ลูกน้องในสวน)</v>
          </cell>
          <cell r="G120" t="str">
            <v>จี้หม่วย</v>
          </cell>
          <cell r="H120" t="str">
            <v>TTB</v>
          </cell>
          <cell r="J120">
            <v>149950</v>
          </cell>
        </row>
        <row r="121">
          <cell r="A121" t="str">
            <v>M69-05-102</v>
          </cell>
          <cell r="C121">
            <v>46167</v>
          </cell>
          <cell r="E121" t="str">
            <v>Yส่วนตัว</v>
          </cell>
          <cell r="F121" t="str">
            <v>เงินเดือนคนขับรถ 5.)</v>
          </cell>
          <cell r="G121" t="str">
            <v xml:space="preserve">พี่สมชาย </v>
          </cell>
          <cell r="H121" t="str">
            <v>BBL</v>
          </cell>
          <cell r="J121">
            <v>20000</v>
          </cell>
        </row>
        <row r="122">
          <cell r="A122" t="str">
            <v>M69-05-103</v>
          </cell>
          <cell r="C122">
            <v>46167</v>
          </cell>
          <cell r="E122" t="str">
            <v>Yส่วนตัว</v>
          </cell>
          <cell r="F122" t="str">
            <v xml:space="preserve">เงินเดือนพี่เบิ้ล 5.) </v>
          </cell>
          <cell r="G122" t="str">
            <v>พี่เบิ้ล</v>
          </cell>
          <cell r="H122" t="str">
            <v>BBL</v>
          </cell>
          <cell r="J122">
            <v>15000</v>
          </cell>
        </row>
        <row r="123">
          <cell r="A123" t="str">
            <v>M69-05-104</v>
          </cell>
          <cell r="C123">
            <v>46169</v>
          </cell>
          <cell r="E123" t="str">
            <v>โกต้งส่วนตัว</v>
          </cell>
          <cell r="F123" t="str">
            <v>ผ้าใบเต็นท์สีฟ้า 5ม.x10ม.(@ครัวพฤกษา)</v>
          </cell>
          <cell r="G123" t="str">
            <v>บจ.สยามชัยอลูมิเนี่ยม และ ผ้าใบ</v>
          </cell>
          <cell r="H123" t="str">
            <v>SCB</v>
          </cell>
          <cell r="J123">
            <v>15000</v>
          </cell>
        </row>
        <row r="124">
          <cell r="A124" t="str">
            <v>M69-05-105</v>
          </cell>
          <cell r="C124">
            <v>46169</v>
          </cell>
          <cell r="E124" t="str">
            <v>จี้หม่วย</v>
          </cell>
          <cell r="F124" t="str">
            <v>ค่าทำบัญชี,ปกส.,ภาษี,กยศ. 3.), กองทุนทดแทน68</v>
          </cell>
          <cell r="G124" t="str">
            <v>จี้หม่วย</v>
          </cell>
          <cell r="H124" t="str">
            <v>TTB</v>
          </cell>
          <cell r="J124">
            <v>134579</v>
          </cell>
        </row>
        <row r="125">
          <cell r="F125" t="str">
            <v>ยื่นปรับปรุงคิด%เงินบริจาคเกิน2566,UPS+เม้าท์</v>
          </cell>
        </row>
        <row r="126">
          <cell r="A126" t="str">
            <v>M69-05-106</v>
          </cell>
          <cell r="C126">
            <v>46169</v>
          </cell>
          <cell r="E126" t="str">
            <v>จี้หม่วย</v>
          </cell>
          <cell r="F126" t="str">
            <v>ค่าทำบัญชี,ปกส.,ภาษี,กยศ. 4.)</v>
          </cell>
          <cell r="G126" t="str">
            <v>จี้หม่วย</v>
          </cell>
          <cell r="H126" t="str">
            <v>TTB</v>
          </cell>
          <cell r="J126">
            <v>65990</v>
          </cell>
        </row>
        <row r="127">
          <cell r="A127" t="str">
            <v>M69-05-107</v>
          </cell>
          <cell r="C127">
            <v>46169</v>
          </cell>
          <cell r="E127" t="str">
            <v>M-SHOP</v>
          </cell>
          <cell r="F127" t="str">
            <v>โคมไฟมินิ 12ตัว</v>
          </cell>
          <cell r="G127" t="str">
            <v>บจ.เทพศิริ</v>
          </cell>
          <cell r="H127" t="str">
            <v>BBL</v>
          </cell>
          <cell r="J127">
            <v>1920</v>
          </cell>
        </row>
        <row r="128">
          <cell r="A128" t="str">
            <v>M69-05-108</v>
          </cell>
          <cell r="C128">
            <v>46169</v>
          </cell>
          <cell r="E128" t="str">
            <v>เรือปั่นไฟ HHT-12</v>
          </cell>
          <cell r="F128" t="str">
            <v>หม้อน้ำ 1 ชุด</v>
          </cell>
          <cell r="G128" t="str">
            <v>บจ.จีเอสเอ็มมารีนซัพพลาย</v>
          </cell>
          <cell r="H128" t="str">
            <v>Kbank</v>
          </cell>
          <cell r="J128">
            <v>55500</v>
          </cell>
        </row>
        <row r="129">
          <cell r="A129" t="str">
            <v>M69-05-109</v>
          </cell>
          <cell r="C129">
            <v>46169</v>
          </cell>
          <cell r="E129" t="str">
            <v>M-SHOP</v>
          </cell>
          <cell r="F129" t="str">
            <v>น้ำกลั่นบริสุทธิ์ 50 โหล</v>
          </cell>
          <cell r="G129" t="str">
            <v>บจ.ลี้เซียฮวด</v>
          </cell>
          <cell r="H129" t="str">
            <v>BBL</v>
          </cell>
          <cell r="J129">
            <v>6000</v>
          </cell>
        </row>
        <row r="130">
          <cell r="A130" t="str">
            <v>M69-05-110</v>
          </cell>
          <cell r="C130">
            <v>46169</v>
          </cell>
          <cell r="E130" t="str">
            <v>UTK เรือรวม</v>
          </cell>
          <cell r="F130" t="str">
            <v>เงินเดือนช่างรวม (16-31/5/2026)</v>
          </cell>
          <cell r="G130" t="str">
            <v>ช่างรวม</v>
          </cell>
          <cell r="H130" t="str">
            <v>Kbank</v>
          </cell>
          <cell r="J130">
            <v>22500</v>
          </cell>
        </row>
        <row r="131">
          <cell r="A131" t="str">
            <v>M69-05-111</v>
          </cell>
          <cell r="C131">
            <v>46170</v>
          </cell>
          <cell r="E131" t="str">
            <v>FM</v>
          </cell>
          <cell r="F131" t="str">
            <v>ค่าจัดการปลาป่น#16/25-26 PH (54คันx500)</v>
          </cell>
          <cell r="G131" t="str">
            <v>ชาญสยามขนส่ง</v>
          </cell>
          <cell r="H131" t="str">
            <v>Kbank</v>
          </cell>
          <cell r="J131">
            <v>27000</v>
          </cell>
        </row>
        <row r="132">
          <cell r="A132" t="str">
            <v>M69-05-112</v>
          </cell>
          <cell r="C132">
            <v>46170</v>
          </cell>
          <cell r="E132" t="str">
            <v>เรือปั่นไฟ HHT-12</v>
          </cell>
          <cell r="F132" t="str">
            <v>เครื่องยนต์ HINO</v>
          </cell>
          <cell r="G132" t="str">
            <v>หจก.อ้วนเทอร์โบ</v>
          </cell>
          <cell r="H132" t="str">
            <v>Kbank</v>
          </cell>
          <cell r="J132">
            <v>215000</v>
          </cell>
        </row>
        <row r="133">
          <cell r="A133" t="str">
            <v>M69-05-113</v>
          </cell>
          <cell r="C133">
            <v>46170</v>
          </cell>
          <cell r="E133" t="str">
            <v>FM</v>
          </cell>
          <cell r="F133" t="str">
            <v>เบี้ยประกันอัคคีภัย เพื่อค้ำวงเงินO.D.(ที่ดิน KPS-คอนกรีต)</v>
          </cell>
          <cell r="G133" t="str">
            <v>BBL 1765-6</v>
          </cell>
          <cell r="H133" t="str">
            <v>BBL</v>
          </cell>
          <cell r="J133">
            <v>31561</v>
          </cell>
        </row>
        <row r="134">
          <cell r="H134" t="e">
            <v>#N/A</v>
          </cell>
        </row>
        <row r="135">
          <cell r="A135" t="str">
            <v>M69-05-114</v>
          </cell>
          <cell r="C135">
            <v>46171</v>
          </cell>
          <cell r="E135" t="str">
            <v>FM</v>
          </cell>
          <cell r="F135" t="str">
            <v>เงินเดือนโกเจี้ยว 5.)</v>
          </cell>
          <cell r="G135" t="str">
            <v>โกเจี้ยว</v>
          </cell>
          <cell r="H135" t="str">
            <v>Kbank</v>
          </cell>
          <cell r="J135">
            <v>50000</v>
          </cell>
        </row>
        <row r="136">
          <cell r="A136" t="str">
            <v>M69-05-115</v>
          </cell>
          <cell r="C136">
            <v>46171</v>
          </cell>
          <cell r="E136" t="str">
            <v>YNTZ C-PAC</v>
          </cell>
          <cell r="F136" t="str">
            <v>เงินเดือนพี่เส็ง 5.)</v>
          </cell>
          <cell r="G136" t="str">
            <v>น้องสุ</v>
          </cell>
          <cell r="H136" t="str">
            <v>Kbank</v>
          </cell>
          <cell r="J136">
            <v>25000</v>
          </cell>
        </row>
        <row r="137">
          <cell r="A137" t="str">
            <v>M69-05-116</v>
          </cell>
          <cell r="C137">
            <v>46171</v>
          </cell>
          <cell r="E137" t="str">
            <v>FM</v>
          </cell>
          <cell r="F137" t="str">
            <v>เงินเดือน ELDA 5.)</v>
          </cell>
          <cell r="G137" t="str">
            <v>Pronpimon  Oangsuwan</v>
          </cell>
          <cell r="H137" t="str">
            <v>Kbank</v>
          </cell>
          <cell r="J137">
            <v>30000</v>
          </cell>
        </row>
        <row r="138">
          <cell r="A138" t="str">
            <v>M69-05-117</v>
          </cell>
          <cell r="C138">
            <v>46171</v>
          </cell>
          <cell r="E138" t="str">
            <v>EXP C-PAC</v>
          </cell>
          <cell r="F138" t="str">
            <v>เงินเดือนโกวอม 5.)</v>
          </cell>
          <cell r="G138" t="str">
            <v>ตู๋ (บัญชีท่าเรือ)</v>
          </cell>
          <cell r="H138" t="str">
            <v>SCB</v>
          </cell>
          <cell r="J138">
            <v>25000</v>
          </cell>
        </row>
        <row r="139">
          <cell r="A139" t="str">
            <v>M69-05-118</v>
          </cell>
          <cell r="C139">
            <v>46171</v>
          </cell>
          <cell r="E139" t="str">
            <v>สำรองเจ้าหน้าที่</v>
          </cell>
          <cell r="F139" t="str">
            <v>รายเดือนจนท.เขตด่าน,ปป.ทะเล,ตม. 5.)</v>
          </cell>
          <cell r="G139" t="str">
            <v>โกจุ่ง</v>
          </cell>
          <cell r="H139" t="str">
            <v>Kbank</v>
          </cell>
          <cell r="J139">
            <v>20000</v>
          </cell>
        </row>
        <row r="140">
          <cell r="A140" t="str">
            <v>M69-05-119</v>
          </cell>
          <cell r="C140">
            <v>46171</v>
          </cell>
          <cell r="E140" t="str">
            <v>สำรองเจ้าหน้าที่</v>
          </cell>
          <cell r="F140" t="str">
            <v>รายเดือนผู้การปริญญา</v>
          </cell>
          <cell r="G140" t="str">
            <v>ผู้การปริญญา</v>
          </cell>
          <cell r="H140" t="str">
            <v>SCB</v>
          </cell>
          <cell r="J140">
            <v>5000</v>
          </cell>
        </row>
        <row r="141">
          <cell r="A141" t="str">
            <v>M69-05-120</v>
          </cell>
          <cell r="C141">
            <v>46171</v>
          </cell>
          <cell r="E141" t="str">
            <v>OFF</v>
          </cell>
          <cell r="F141" t="str">
            <v>ค่าโทรศัพท์TOT 5.) 077-816207=107.- /077-816209=107.-</v>
          </cell>
          <cell r="G141" t="str">
            <v>TOT</v>
          </cell>
          <cell r="H141" t="str">
            <v>QRCode</v>
          </cell>
          <cell r="J141">
            <v>214</v>
          </cell>
        </row>
        <row r="142">
          <cell r="C142">
            <v>46171</v>
          </cell>
          <cell r="E142" t="str">
            <v>BBL 1678-1</v>
          </cell>
          <cell r="F142" t="str">
            <v>นำเงินเข้าบัญชี</v>
          </cell>
          <cell r="H142" t="e">
            <v>#N/A</v>
          </cell>
          <cell r="I142">
            <v>3000000</v>
          </cell>
        </row>
        <row r="143">
          <cell r="A143" t="str">
            <v>M69-05-121</v>
          </cell>
          <cell r="C143">
            <v>46171</v>
          </cell>
          <cell r="E143" t="str">
            <v>พี่สาโรจน์</v>
          </cell>
          <cell r="F143" t="str">
            <v>ค่าแรงและค่าของ 4.) - 5.)</v>
          </cell>
          <cell r="G143" t="str">
            <v>พี่สาโรจน์</v>
          </cell>
          <cell r="H143" t="str">
            <v>SCB</v>
          </cell>
          <cell r="J143">
            <v>175050</v>
          </cell>
        </row>
        <row r="144">
          <cell r="A144" t="str">
            <v>M69-05-122</v>
          </cell>
          <cell r="C144">
            <v>46171</v>
          </cell>
          <cell r="E144" t="str">
            <v>Exp M-SHOP</v>
          </cell>
          <cell r="F144" t="str">
            <v>เงินเดือน OFF มะริด 5.) (KS 7,455,208÷131)</v>
          </cell>
          <cell r="G144" t="str">
            <v>จี้เมธ์ .</v>
          </cell>
          <cell r="H144" t="str">
            <v>BBL</v>
          </cell>
          <cell r="J144">
            <v>56910</v>
          </cell>
        </row>
        <row r="145">
          <cell r="A145" t="str">
            <v>M69-05-123</v>
          </cell>
          <cell r="C145">
            <v>46171</v>
          </cell>
          <cell r="E145" t="str">
            <v>HHT ICE</v>
          </cell>
          <cell r="F145" t="str">
            <v>มาม่า 25 ลัง</v>
          </cell>
          <cell r="G145" t="str">
            <v xml:space="preserve">นายธนากร  ฉายประทีป </v>
          </cell>
          <cell r="H145" t="str">
            <v>Kbank</v>
          </cell>
          <cell r="J145">
            <v>25625</v>
          </cell>
        </row>
        <row r="146">
          <cell r="A146" t="str">
            <v>M69-05-124</v>
          </cell>
          <cell r="C146">
            <v>46172</v>
          </cell>
          <cell r="E146" t="str">
            <v>สำรองเจ้าหน้าที่</v>
          </cell>
          <cell r="F146" t="str">
            <v>เงินเดือนผู้การ และ ค่าอาหารผู้การ 6.)</v>
          </cell>
          <cell r="G146" t="str">
            <v>คุณนนทรจน์ จันทร์สิงห์</v>
          </cell>
          <cell r="H146" t="str">
            <v>Kbank</v>
          </cell>
          <cell r="J146">
            <v>50000</v>
          </cell>
        </row>
        <row r="147">
          <cell r="H147" t="e">
            <v>#N/A</v>
          </cell>
        </row>
        <row r="148">
          <cell r="H148" t="e">
            <v>#N/A</v>
          </cell>
        </row>
        <row r="149">
          <cell r="H149" t="e">
            <v>#N/A</v>
          </cell>
        </row>
        <row r="150">
          <cell r="H150" t="e">
            <v>#N/A</v>
          </cell>
        </row>
        <row r="151">
          <cell r="H151" t="e">
            <v>#N/A</v>
          </cell>
        </row>
        <row r="152">
          <cell r="H152" t="e">
            <v>#N/A</v>
          </cell>
        </row>
        <row r="153">
          <cell r="H153" t="e">
            <v>#N/A</v>
          </cell>
        </row>
        <row r="154">
          <cell r="H154" t="e">
            <v>#N/A</v>
          </cell>
        </row>
        <row r="155">
          <cell r="H155" t="e">
            <v>#N/A</v>
          </cell>
        </row>
        <row r="156">
          <cell r="H156" t="e">
            <v>#N/A</v>
          </cell>
        </row>
        <row r="157">
          <cell r="H157" t="e">
            <v>#N/A</v>
          </cell>
        </row>
        <row r="158">
          <cell r="H158" t="e">
            <v>#N/A</v>
          </cell>
        </row>
        <row r="159">
          <cell r="H159" t="e">
            <v>#N/A</v>
          </cell>
        </row>
        <row r="160">
          <cell r="H160" t="e">
            <v>#N/A</v>
          </cell>
        </row>
        <row r="161">
          <cell r="H161" t="e">
            <v>#N/A</v>
          </cell>
        </row>
        <row r="162">
          <cell r="H162" t="e">
            <v>#N/A</v>
          </cell>
        </row>
        <row r="163">
          <cell r="H163" t="e">
            <v>#N/A</v>
          </cell>
        </row>
        <row r="164">
          <cell r="H164" t="e">
            <v>#N/A</v>
          </cell>
        </row>
        <row r="165">
          <cell r="H165" t="e">
            <v>#N/A</v>
          </cell>
        </row>
        <row r="166">
          <cell r="H166" t="e">
            <v>#N/A</v>
          </cell>
        </row>
        <row r="167">
          <cell r="H167" t="e">
            <v>#N/A</v>
          </cell>
        </row>
        <row r="168">
          <cell r="H168" t="e">
            <v>#N/A</v>
          </cell>
        </row>
        <row r="169">
          <cell r="H169" t="e">
            <v>#N/A</v>
          </cell>
        </row>
        <row r="170">
          <cell r="H170" t="e">
            <v>#N/A</v>
          </cell>
        </row>
        <row r="171">
          <cell r="H171" t="e">
            <v>#N/A</v>
          </cell>
        </row>
        <row r="172">
          <cell r="H172" t="e">
            <v>#N/A</v>
          </cell>
        </row>
        <row r="173">
          <cell r="H173" t="e">
            <v>#N/A</v>
          </cell>
        </row>
        <row r="174">
          <cell r="H174" t="e">
            <v>#N/A</v>
          </cell>
        </row>
        <row r="175">
          <cell r="H175" t="e">
            <v>#N/A</v>
          </cell>
        </row>
        <row r="176">
          <cell r="H176" t="e">
            <v>#N/A</v>
          </cell>
        </row>
        <row r="177">
          <cell r="H177" t="e">
            <v>#N/A</v>
          </cell>
        </row>
        <row r="178">
          <cell r="H178" t="e">
            <v>#N/A</v>
          </cell>
        </row>
        <row r="179">
          <cell r="H179" t="e">
            <v>#N/A</v>
          </cell>
        </row>
        <row r="180">
          <cell r="H180" t="e">
            <v>#N/A</v>
          </cell>
        </row>
        <row r="181">
          <cell r="H181" t="e">
            <v>#N/A</v>
          </cell>
        </row>
        <row r="182">
          <cell r="H182" t="e">
            <v>#N/A</v>
          </cell>
        </row>
        <row r="183">
          <cell r="H183" t="e">
            <v>#N/A</v>
          </cell>
        </row>
        <row r="184">
          <cell r="H184" t="e">
            <v>#N/A</v>
          </cell>
        </row>
        <row r="185">
          <cell r="H185" t="e">
            <v>#N/A</v>
          </cell>
        </row>
        <row r="186">
          <cell r="H186" t="e">
            <v>#N/A</v>
          </cell>
        </row>
        <row r="187">
          <cell r="H187" t="e">
            <v>#N/A</v>
          </cell>
        </row>
        <row r="188">
          <cell r="H188" t="e">
            <v>#N/A</v>
          </cell>
        </row>
        <row r="189">
          <cell r="H189" t="e">
            <v>#N/A</v>
          </cell>
        </row>
        <row r="190">
          <cell r="H190" t="e">
            <v>#N/A</v>
          </cell>
        </row>
        <row r="191">
          <cell r="H191" t="e">
            <v>#N/A</v>
          </cell>
        </row>
        <row r="192">
          <cell r="H192" t="e">
            <v>#N/A</v>
          </cell>
        </row>
        <row r="193">
          <cell r="H193" t="e">
            <v>#N/A</v>
          </cell>
        </row>
        <row r="194">
          <cell r="H194" t="e">
            <v>#N/A</v>
          </cell>
        </row>
        <row r="195">
          <cell r="H195" t="e">
            <v>#N/A</v>
          </cell>
        </row>
        <row r="196">
          <cell r="H196" t="e">
            <v>#N/A</v>
          </cell>
        </row>
        <row r="197">
          <cell r="H197" t="e">
            <v>#N/A</v>
          </cell>
        </row>
        <row r="198">
          <cell r="H198" t="e">
            <v>#N/A</v>
          </cell>
        </row>
        <row r="199">
          <cell r="H199" t="e">
            <v>#N/A</v>
          </cell>
        </row>
        <row r="200">
          <cell r="H200" t="e">
            <v>#N/A</v>
          </cell>
        </row>
        <row r="201">
          <cell r="H201" t="e">
            <v>#N/A</v>
          </cell>
        </row>
        <row r="202">
          <cell r="H202" t="e">
            <v>#N/A</v>
          </cell>
        </row>
        <row r="203">
          <cell r="H203" t="e">
            <v>#N/A</v>
          </cell>
        </row>
        <row r="204">
          <cell r="H204" t="e">
            <v>#N/A</v>
          </cell>
        </row>
        <row r="205">
          <cell r="H205" t="e">
            <v>#N/A</v>
          </cell>
        </row>
        <row r="206">
          <cell r="H206" t="e">
            <v>#N/A</v>
          </cell>
        </row>
        <row r="207">
          <cell r="H207" t="e">
            <v>#N/A</v>
          </cell>
        </row>
        <row r="208">
          <cell r="H208" t="e">
            <v>#N/A</v>
          </cell>
        </row>
        <row r="209">
          <cell r="H209" t="e">
            <v>#N/A</v>
          </cell>
        </row>
        <row r="210">
          <cell r="H210" t="e">
            <v>#N/A</v>
          </cell>
        </row>
        <row r="211">
          <cell r="H211" t="e">
            <v>#N/A</v>
          </cell>
        </row>
        <row r="212">
          <cell r="H212" t="e">
            <v>#N/A</v>
          </cell>
        </row>
        <row r="213">
          <cell r="H213" t="e">
            <v>#N/A</v>
          </cell>
        </row>
        <row r="214">
          <cell r="H214" t="e">
            <v>#N/A</v>
          </cell>
        </row>
        <row r="215">
          <cell r="H215" t="e">
            <v>#N/A</v>
          </cell>
        </row>
        <row r="216">
          <cell r="H216" t="e">
            <v>#N/A</v>
          </cell>
        </row>
        <row r="217">
          <cell r="H217" t="e">
            <v>#N/A</v>
          </cell>
        </row>
        <row r="218">
          <cell r="H218" t="e">
            <v>#N/A</v>
          </cell>
        </row>
        <row r="219">
          <cell r="H219" t="e">
            <v>#N/A</v>
          </cell>
        </row>
        <row r="220">
          <cell r="H220" t="e">
            <v>#N/A</v>
          </cell>
        </row>
        <row r="221">
          <cell r="H221" t="e">
            <v>#N/A</v>
          </cell>
        </row>
        <row r="222">
          <cell r="H222" t="e">
            <v>#N/A</v>
          </cell>
        </row>
        <row r="223">
          <cell r="H223" t="e">
            <v>#N/A</v>
          </cell>
        </row>
        <row r="224">
          <cell r="H224" t="str">
            <v>รวม</v>
          </cell>
          <cell r="I224">
            <v>12480724</v>
          </cell>
          <cell r="J224">
            <v>11990262.59</v>
          </cell>
        </row>
        <row r="225">
          <cell r="A225" t="str">
            <v>***</v>
          </cell>
          <cell r="C225" t="str">
            <v>ตู๋โอนผิดบัญชีคะเลยทำโอนออกคะ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-69"/>
      <sheetName val="บัญชีโอน"/>
      <sheetName val="7-69"/>
      <sheetName val="6-69"/>
      <sheetName val="5-69"/>
      <sheetName val="4-69"/>
      <sheetName val="3-69"/>
      <sheetName val="2-69"/>
      <sheetName val="1-69"/>
    </sheetNames>
    <sheetDataSet>
      <sheetData sheetId="0"/>
      <sheetData sheetId="1">
        <row r="1">
          <cell r="B1" t="str">
            <v>ชื่อร้าน</v>
          </cell>
          <cell r="C1" t="str">
            <v>จ่ายให้</v>
          </cell>
          <cell r="D1" t="str">
            <v>BANK</v>
          </cell>
          <cell r="E1" t="str">
            <v>เลขที่บัญชี</v>
          </cell>
        </row>
        <row r="2">
          <cell r="B2" t="str">
            <v>AIA</v>
          </cell>
          <cell r="C2" t="str">
            <v>บจ.เอไอเอ</v>
          </cell>
          <cell r="D2" t="str">
            <v>QR CODE</v>
          </cell>
          <cell r="E2" t="str">
            <v>บจ.เอไอเอ</v>
          </cell>
        </row>
        <row r="3">
          <cell r="B3" t="str">
            <v>BBL 1644-3</v>
          </cell>
          <cell r="C3" t="str">
            <v>นายธนู  ทักษิณาวงศ์</v>
          </cell>
          <cell r="D3" t="str">
            <v>BBL</v>
          </cell>
          <cell r="E3" t="str">
            <v>527-3-01644-3</v>
          </cell>
        </row>
        <row r="4">
          <cell r="B4" t="str">
            <v>BBL 1765-6</v>
          </cell>
          <cell r="C4" t="str">
            <v>นายอดิศักดิ์ รุจิวิวัฒนกุล</v>
          </cell>
          <cell r="D4" t="str">
            <v>BBL</v>
          </cell>
          <cell r="E4" t="str">
            <v>527-3-01765-6</v>
          </cell>
        </row>
        <row r="5">
          <cell r="B5" t="str">
            <v>BBL 5889-9</v>
          </cell>
          <cell r="C5" t="str">
            <v>นายธนู  ทักษิณาวงศ์</v>
          </cell>
          <cell r="D5" t="str">
            <v>BBL</v>
          </cell>
          <cell r="E5" t="str">
            <v>527-0-25889-9</v>
          </cell>
        </row>
        <row r="6">
          <cell r="B6" t="str">
            <v>CHO CHO WIN</v>
          </cell>
          <cell r="C6" t="str">
            <v>CHO CHO WIN</v>
          </cell>
          <cell r="D6" t="str">
            <v>Kbank</v>
          </cell>
          <cell r="E6" t="str">
            <v>085-8-66544-2</v>
          </cell>
        </row>
        <row r="7">
          <cell r="B7" t="str">
            <v>GHP หนุ่มกระจกอลูมิเนียม</v>
          </cell>
          <cell r="C7" t="str">
            <v>นายยิ่งยศ  แก้ววงค์ทอง</v>
          </cell>
          <cell r="D7" t="str">
            <v>BBL</v>
          </cell>
          <cell r="E7" t="str">
            <v>527-3-01122-0</v>
          </cell>
        </row>
        <row r="8">
          <cell r="B8" t="str">
            <v xml:space="preserve">GHP หนุ่มกระจกอลูมิเนียม </v>
          </cell>
          <cell r="C8" t="str">
            <v>นายยิ่งยศ   แก้ววงค์ทอง</v>
          </cell>
          <cell r="D8" t="str">
            <v>Kbank</v>
          </cell>
          <cell r="E8" t="str">
            <v>032-3-56364-0</v>
          </cell>
        </row>
        <row r="9">
          <cell r="B9" t="str">
            <v>K.K. Ranong Trading LTD.,PART.</v>
          </cell>
          <cell r="C9" t="str">
            <v>K.K. Ranong Trading LTD.,PART.</v>
          </cell>
          <cell r="D9" t="str">
            <v>Kbank</v>
          </cell>
          <cell r="E9" t="str">
            <v>232-2-18817-2</v>
          </cell>
        </row>
        <row r="10">
          <cell r="B10" t="str">
            <v>KS.เทรดดิ้ง</v>
          </cell>
          <cell r="C10" t="str">
            <v>นายเกรียงศักดิ์  แซ่โง้ว</v>
          </cell>
          <cell r="D10" t="str">
            <v>BBL</v>
          </cell>
          <cell r="E10" t="str">
            <v>128-0-74064-6</v>
          </cell>
        </row>
        <row r="11">
          <cell r="B11" t="str">
            <v>LYA (พี่เสง)</v>
          </cell>
          <cell r="C11" t="str">
            <v>นายปิยวุฒิ  ลิ่มศิลา</v>
          </cell>
          <cell r="D11" t="str">
            <v>TTB</v>
          </cell>
          <cell r="E11" t="str">
            <v>429-2-25632-0</v>
          </cell>
        </row>
        <row r="12">
          <cell r="B12" t="str">
            <v>MISS GLORIA HUANG</v>
          </cell>
          <cell r="C12" t="str">
            <v>MISS GLORIA HUANG</v>
          </cell>
          <cell r="D12" t="str">
            <v>SCB</v>
          </cell>
          <cell r="E12" t="str">
            <v>218-2-84081-5</v>
          </cell>
        </row>
        <row r="13">
          <cell r="B13" t="str">
            <v>MISS HSU MYAT HTOO</v>
          </cell>
          <cell r="C13" t="str">
            <v>MISS HSU MYAT HTOO</v>
          </cell>
          <cell r="D13" t="str">
            <v>BAY</v>
          </cell>
          <cell r="E13" t="str">
            <v>769-1-26336-4</v>
          </cell>
        </row>
        <row r="14">
          <cell r="B14" t="str">
            <v>MR. ARKER SOE THEIN</v>
          </cell>
          <cell r="C14" t="str">
            <v>MR. ARKER SOE THEIN</v>
          </cell>
          <cell r="D14" t="str">
            <v>BBL</v>
          </cell>
          <cell r="E14" t="str">
            <v>037-4-14587-8</v>
          </cell>
        </row>
        <row r="15">
          <cell r="B15" t="str">
            <v>MR. HTAY WIN</v>
          </cell>
          <cell r="C15" t="str">
            <v>MR. HTAY WIN</v>
          </cell>
          <cell r="D15" t="str">
            <v>BBL</v>
          </cell>
          <cell r="E15" t="str">
            <v>291-0-91259-7</v>
          </cell>
        </row>
        <row r="16">
          <cell r="B16" t="str">
            <v>MR. KAUNG KYAW MOE</v>
          </cell>
          <cell r="C16" t="str">
            <v>MR. KAUNG KYAW MOE</v>
          </cell>
          <cell r="D16" t="str">
            <v>Kbank</v>
          </cell>
          <cell r="E16" t="str">
            <v>165-3-16118-9</v>
          </cell>
        </row>
        <row r="17">
          <cell r="B17" t="str">
            <v>MR. KYAW THUYA</v>
          </cell>
          <cell r="C17" t="str">
            <v>MR. KYAW THUYA</v>
          </cell>
          <cell r="D17" t="str">
            <v>BBL</v>
          </cell>
          <cell r="E17" t="str">
            <v>527-0-24979-9</v>
          </cell>
        </row>
        <row r="18">
          <cell r="B18" t="str">
            <v>MR. NAING LYNN</v>
          </cell>
          <cell r="C18" t="str">
            <v>MR. NAING LYNN</v>
          </cell>
          <cell r="D18" t="str">
            <v>BBL</v>
          </cell>
          <cell r="E18" t="str">
            <v>101-9-38598-6</v>
          </cell>
        </row>
        <row r="19">
          <cell r="B19" t="str">
            <v>MR. ZAY YAR OO</v>
          </cell>
          <cell r="C19" t="str">
            <v>MR. ZAY YAR OO</v>
          </cell>
          <cell r="D19" t="str">
            <v>Kbank</v>
          </cell>
          <cell r="E19" t="str">
            <v>106-1-55122-7</v>
          </cell>
        </row>
        <row r="20">
          <cell r="B20" t="str">
            <v>MR.HEIN THWE ZONE</v>
          </cell>
          <cell r="C20" t="str">
            <v>HEIN THWE ZONE</v>
          </cell>
          <cell r="D20" t="str">
            <v>BBL</v>
          </cell>
          <cell r="E20" t="str">
            <v>855-0-83084-1</v>
          </cell>
        </row>
        <row r="21">
          <cell r="B21" t="str">
            <v>MR.SOE THEIN</v>
          </cell>
          <cell r="C21" t="str">
            <v>MR.SOE THEIN</v>
          </cell>
          <cell r="D21" t="str">
            <v>BBL</v>
          </cell>
          <cell r="E21" t="str">
            <v>939-0-28685-5</v>
          </cell>
        </row>
        <row r="22">
          <cell r="B22" t="str">
            <v>MR.SUNTAYA SETAVORAPHAN</v>
          </cell>
          <cell r="C22" t="str">
            <v>MR.SUNTAYA SETAVORAPHAN</v>
          </cell>
          <cell r="D22" t="str">
            <v>BBL</v>
          </cell>
          <cell r="E22" t="str">
            <v>180-4-97992-8</v>
          </cell>
        </row>
        <row r="23">
          <cell r="B23" t="str">
            <v>MR.THAUNG TUN</v>
          </cell>
          <cell r="C23" t="str">
            <v>MR.THAUNG TUN</v>
          </cell>
          <cell r="D23" t="str">
            <v>Kbank</v>
          </cell>
          <cell r="E23" t="str">
            <v>140-8-79416-8</v>
          </cell>
        </row>
        <row r="24">
          <cell r="B24" t="str">
            <v>MR.THU KHA AND MRS.AYE AYE MU</v>
          </cell>
          <cell r="C24" t="str">
            <v>MR.THU KHA AND MRS.AYE AYE MU</v>
          </cell>
          <cell r="D24" t="str">
            <v>BBL</v>
          </cell>
          <cell r="E24" t="str">
            <v>056-0-47678-0</v>
          </cell>
        </row>
        <row r="25">
          <cell r="B25" t="str">
            <v>MR.THUYA AUNG NO SERNAME</v>
          </cell>
          <cell r="C25" t="str">
            <v>MR.THUYA AUNG NO SERNAME</v>
          </cell>
          <cell r="D25" t="str">
            <v>Kbank</v>
          </cell>
          <cell r="E25" t="str">
            <v>550-2-04642-1</v>
          </cell>
        </row>
        <row r="26">
          <cell r="B26" t="str">
            <v>MR.TIN SOE</v>
          </cell>
          <cell r="C26" t="str">
            <v>MR.TIN SOE</v>
          </cell>
          <cell r="D26" t="str">
            <v>Kbank</v>
          </cell>
          <cell r="E26" t="str">
            <v>038-3-60121-5</v>
          </cell>
        </row>
        <row r="27">
          <cell r="B27" t="str">
            <v>MR.ZAW MYO TUN</v>
          </cell>
          <cell r="C27" t="str">
            <v>MR.ZAW MYO TUN</v>
          </cell>
          <cell r="D27" t="str">
            <v>BBL</v>
          </cell>
          <cell r="E27" t="str">
            <v>031-7-11072-4</v>
          </cell>
        </row>
        <row r="28">
          <cell r="B28" t="str">
            <v>MRS.AYE AYE MU</v>
          </cell>
          <cell r="C28" t="str">
            <v>MRS.AYE AYE MU</v>
          </cell>
          <cell r="D28" t="str">
            <v>BBL</v>
          </cell>
          <cell r="E28" t="str">
            <v>101-9-36080-7</v>
          </cell>
        </row>
        <row r="29">
          <cell r="B29" t="str">
            <v>MRS.KHIN HTWE KYI</v>
          </cell>
          <cell r="C29" t="str">
            <v>MRS.KHIN HTWE KYI</v>
          </cell>
          <cell r="D29" t="str">
            <v>BBL</v>
          </cell>
          <cell r="E29" t="str">
            <v>056-0-47780-4</v>
          </cell>
        </row>
        <row r="30">
          <cell r="B30" t="str">
            <v>MRS.MA AYE NWAY NWAY CHAW</v>
          </cell>
          <cell r="C30" t="str">
            <v>MRS.MA AYE NWAY NWAY CHAW</v>
          </cell>
          <cell r="D30" t="str">
            <v>BBL</v>
          </cell>
          <cell r="E30" t="str">
            <v>056-0-43520-8</v>
          </cell>
        </row>
        <row r="31">
          <cell r="B31" t="str">
            <v>MS.MYAT NOE THU</v>
          </cell>
          <cell r="C31" t="str">
            <v>MS.MYAT NOE THU</v>
          </cell>
          <cell r="D31" t="str">
            <v>QR CODE</v>
          </cell>
          <cell r="E31" t="str">
            <v>MS.MYAT NOE THU</v>
          </cell>
        </row>
        <row r="32">
          <cell r="B32" t="str">
            <v>MS.NAN MI MI KHAING</v>
          </cell>
          <cell r="C32" t="str">
            <v>MS.NAN MI MI KHAING</v>
          </cell>
          <cell r="D32" t="str">
            <v>Kbank</v>
          </cell>
          <cell r="E32" t="str">
            <v>004-8-95102-3</v>
          </cell>
        </row>
        <row r="33">
          <cell r="B33" t="str">
            <v>MS.YIN YIN HTIKE</v>
          </cell>
          <cell r="C33" t="str">
            <v>MS.YIN YIN HTIKE</v>
          </cell>
          <cell r="D33" t="str">
            <v>BBL</v>
          </cell>
          <cell r="E33" t="str">
            <v>031-7-11073-2</v>
          </cell>
        </row>
        <row r="34">
          <cell r="B34" t="str">
            <v>MS.ZIN THU HAN</v>
          </cell>
          <cell r="C34" t="str">
            <v>MS.ZIN THU HAN</v>
          </cell>
          <cell r="D34" t="str">
            <v>P-Pay</v>
          </cell>
          <cell r="E34" t="str">
            <v>093-XXX-8262</v>
          </cell>
        </row>
        <row r="35">
          <cell r="B35" t="str">
            <v>NT Com</v>
          </cell>
          <cell r="C35" t="str">
            <v>นายนครชัย  ทองอนันต์</v>
          </cell>
          <cell r="D35" t="str">
            <v>QR CODE</v>
          </cell>
          <cell r="E35" t="str">
            <v>นายนครชัย  ทองอนันต์</v>
          </cell>
        </row>
        <row r="36">
          <cell r="B36" t="str">
            <v>PJ</v>
          </cell>
          <cell r="C36" t="str">
            <v>นายวิโรจน์  จันทปัญญา</v>
          </cell>
          <cell r="D36" t="str">
            <v>Kbank</v>
          </cell>
          <cell r="E36" t="str">
            <v>016-8-35381-2</v>
          </cell>
        </row>
        <row r="37">
          <cell r="B37" t="str">
            <v>PPไฮดรอลิค</v>
          </cell>
          <cell r="C37" t="str">
            <v>นายอัศวกรณ์  มิลินจารุภารัตน์</v>
          </cell>
          <cell r="D37" t="str">
            <v>Kbank</v>
          </cell>
          <cell r="E37" t="str">
            <v>098-1-73347-9</v>
          </cell>
        </row>
        <row r="38">
          <cell r="B38" t="str">
            <v>Pronpimon  Oangsuwan</v>
          </cell>
          <cell r="C38" t="str">
            <v>Pronpimon  Oangsuwan</v>
          </cell>
          <cell r="D38" t="str">
            <v>Kbank</v>
          </cell>
          <cell r="E38" t="str">
            <v>138-8-42844-5</v>
          </cell>
        </row>
        <row r="39">
          <cell r="B39" t="str">
            <v>RAM</v>
          </cell>
          <cell r="C39" t="str">
            <v>น.ส.เมธ์วดี  รุจิวิวัฒนกุล</v>
          </cell>
          <cell r="D39" t="str">
            <v>KTB</v>
          </cell>
          <cell r="E39" t="str">
            <v>806-0-43357-1</v>
          </cell>
        </row>
        <row r="40">
          <cell r="B40" t="str">
            <v>RAM(ตะแกรงไวท์เมช)</v>
          </cell>
          <cell r="C40" t="str">
            <v>น.ส.ธนาภรณ์  รุจิวิวัฒนกุล</v>
          </cell>
          <cell r="D40" t="str">
            <v>TTB</v>
          </cell>
          <cell r="E40" t="str">
            <v>928-2-03501-4</v>
          </cell>
        </row>
        <row r="41">
          <cell r="B41" t="str">
            <v>Ranong Hot Spring Run</v>
          </cell>
          <cell r="C41" t="str">
            <v>Ranong Hot Spring Run</v>
          </cell>
          <cell r="D41" t="str">
            <v>KTB</v>
          </cell>
          <cell r="E41" t="str">
            <v>806-0-70823-6</v>
          </cell>
        </row>
        <row r="42">
          <cell r="B42" t="str">
            <v>Ranong Hot Spring  Run</v>
          </cell>
          <cell r="C42" t="str">
            <v>Ranong Hot Spring Run โดย</v>
          </cell>
          <cell r="D42" t="str">
            <v>KTB</v>
          </cell>
          <cell r="E42" t="str">
            <v>806-0-79112-5</v>
          </cell>
        </row>
        <row r="43">
          <cell r="B43" t="str">
            <v>RFD / SYM</v>
          </cell>
          <cell r="C43" t="str">
            <v>บจ.ระนอง ฟิวเจอร์ ดีเวลลอปเม้นท์</v>
          </cell>
          <cell r="D43" t="str">
            <v>BBL</v>
          </cell>
          <cell r="E43" t="str">
            <v>527-0-22737-3</v>
          </cell>
        </row>
        <row r="44">
          <cell r="B44" t="str">
            <v>RILON</v>
          </cell>
          <cell r="C44" t="str">
            <v>คุณปณภัทร  นุชเกษม</v>
          </cell>
          <cell r="D44" t="str">
            <v>KTB</v>
          </cell>
          <cell r="E44" t="str">
            <v>493-0-21217-0</v>
          </cell>
        </row>
        <row r="45">
          <cell r="B45" t="str">
            <v>SCG Inernational Corporation Co.,Ltd</v>
          </cell>
          <cell r="C45" t="str">
            <v>SCG Inernational Corporation Co.,Ltd</v>
          </cell>
          <cell r="D45" t="str">
            <v>Kbank</v>
          </cell>
          <cell r="E45" t="str">
            <v>020-1-00066-1</v>
          </cell>
        </row>
        <row r="46">
          <cell r="B46" t="str">
            <v>Shopeepay</v>
          </cell>
          <cell r="C46" t="str">
            <v>Shopeepay</v>
          </cell>
          <cell r="D46" t="str">
            <v>QRCode</v>
          </cell>
          <cell r="E46" t="str">
            <v>QRCode</v>
          </cell>
        </row>
        <row r="47">
          <cell r="B47" t="str">
            <v>THAI KOBELCO WELDING</v>
          </cell>
          <cell r="C47" t="str">
            <v>THAI KOBELCO WELDING CO.,LTD.</v>
          </cell>
          <cell r="D47" t="str">
            <v>MIZUHO</v>
          </cell>
          <cell r="E47" t="str">
            <v>10-764-000303</v>
          </cell>
        </row>
        <row r="48">
          <cell r="B48" t="str">
            <v>THAI-KOBELCO WELDING</v>
          </cell>
          <cell r="C48" t="str">
            <v>THAI-KOBELCO WELDING CO.,LTD.</v>
          </cell>
          <cell r="D48" t="str">
            <v>BBL</v>
          </cell>
          <cell r="E48" t="str">
            <v>155-4-89786-6</v>
          </cell>
        </row>
        <row r="49">
          <cell r="B49" t="str">
            <v>Thongchai Sae Sae</v>
          </cell>
          <cell r="C49" t="str">
            <v>Thongchai Sae Sae</v>
          </cell>
          <cell r="D49" t="str">
            <v>SCB</v>
          </cell>
          <cell r="E49" t="str">
            <v>140-2-18444-8</v>
          </cell>
        </row>
        <row r="50">
          <cell r="B50" t="str">
            <v>TLไฮดรอลิค</v>
          </cell>
          <cell r="C50" t="str">
            <v>นายอัศวกรณ์  มิลินจารุภารัตน์</v>
          </cell>
          <cell r="D50" t="str">
            <v>Kbank</v>
          </cell>
          <cell r="E50" t="str">
            <v>098-1-73347-9</v>
          </cell>
        </row>
        <row r="51">
          <cell r="B51" t="str">
            <v>TOT</v>
          </cell>
          <cell r="C51" t="str">
            <v>บมจ.โทรคมนาคมแห่งชาติ</v>
          </cell>
          <cell r="D51" t="str">
            <v>QRCode</v>
          </cell>
          <cell r="E51" t="str">
            <v>QRCode</v>
          </cell>
        </row>
        <row r="52">
          <cell r="B52" t="str">
            <v>TRUE ONLINE</v>
          </cell>
          <cell r="C52" t="str">
            <v>TRUE ONLINE</v>
          </cell>
          <cell r="D52" t="b">
            <v>1</v>
          </cell>
          <cell r="E52">
            <v>23777714</v>
          </cell>
        </row>
        <row r="53">
          <cell r="B53" t="str">
            <v>W.S.เซอร์วิส</v>
          </cell>
          <cell r="C53" t="str">
            <v>W.S.เซอร์วิส โดย น.ส.วาสนา รอดบุญเกิด</v>
          </cell>
          <cell r="D53" t="str">
            <v>Kbank</v>
          </cell>
          <cell r="E53" t="str">
            <v>460-2-03111-5</v>
          </cell>
        </row>
        <row r="54">
          <cell r="B54" t="str">
            <v xml:space="preserve">W.S.เซอร์วิส </v>
          </cell>
          <cell r="C54" t="str">
            <v>W.S.เซอร์วิส</v>
          </cell>
          <cell r="D54" t="str">
            <v>KTB</v>
          </cell>
          <cell r="E54" t="str">
            <v>806-0-09277-4</v>
          </cell>
        </row>
        <row r="55">
          <cell r="B55" t="str">
            <v>Wannee  Kunaviriyasiri</v>
          </cell>
          <cell r="C55" t="str">
            <v>Wannee  Kunaviriyasiri</v>
          </cell>
          <cell r="D55" t="str">
            <v>KTB</v>
          </cell>
          <cell r="E55" t="str">
            <v>156-1-05507-7</v>
          </cell>
        </row>
        <row r="56">
          <cell r="B56" t="str">
            <v>YNTZ-CPAC</v>
          </cell>
          <cell r="C56" t="str">
            <v>น.ส.สุภาพร ลิ่มศิลา</v>
          </cell>
          <cell r="D56" t="str">
            <v>Kbank</v>
          </cell>
          <cell r="E56" t="str">
            <v>232-2-42469-0</v>
          </cell>
        </row>
        <row r="57">
          <cell r="B57" t="str">
            <v>ก.แสงทอง</v>
          </cell>
          <cell r="C57" t="str">
            <v>นายธนพงษ์ วรศิริสุวิมล</v>
          </cell>
          <cell r="D57" t="str">
            <v>SCB</v>
          </cell>
          <cell r="E57" t="str">
            <v>333-2-58935-4</v>
          </cell>
        </row>
        <row r="58">
          <cell r="B58" t="str">
            <v xml:space="preserve">ก.แสงทอง </v>
          </cell>
          <cell r="C58" t="str">
            <v xml:space="preserve">นายธนพงษ์ วรศิริสุวิมล </v>
          </cell>
          <cell r="D58" t="str">
            <v>Kbank</v>
          </cell>
          <cell r="E58" t="str">
            <v>037-8-45529-4</v>
          </cell>
        </row>
        <row r="59">
          <cell r="B59" t="str">
            <v>กรมสรรพากร</v>
          </cell>
          <cell r="C59" t="str">
            <v>กรมสรรพากร</v>
          </cell>
          <cell r="D59" t="str">
            <v>QRCode</v>
          </cell>
          <cell r="E59" t="str">
            <v>QRCode</v>
          </cell>
        </row>
        <row r="60">
          <cell r="B60" t="str">
            <v>กฤษฎาค้าเหล็ก</v>
          </cell>
          <cell r="C60" t="str">
            <v>คุณอรุณพงศ์  ก้องวัชรพงศ์</v>
          </cell>
          <cell r="D60" t="str">
            <v>Kbank</v>
          </cell>
          <cell r="E60" t="str">
            <v>460-2-09528-8</v>
          </cell>
        </row>
        <row r="61">
          <cell r="B61" t="str">
            <v>การไฟฟ้าส่วนภูมิภาคจ.ระนอง</v>
          </cell>
          <cell r="C61" t="str">
            <v>การไฟฟ้าส่วนภูมิภาคจ.ระนอง</v>
          </cell>
          <cell r="D61" t="str">
            <v>KTB</v>
          </cell>
          <cell r="E61" t="str">
            <v>806-1-06520-7</v>
          </cell>
        </row>
        <row r="62">
          <cell r="B62" t="str">
            <v>กิจทวีผล</v>
          </cell>
          <cell r="C62" t="str">
            <v>นางอังคณา  ธีรรัตนางกูร</v>
          </cell>
          <cell r="D62" t="str">
            <v>Kbank</v>
          </cell>
          <cell r="E62" t="str">
            <v>116-3-56620-2</v>
          </cell>
        </row>
        <row r="63">
          <cell r="B63" t="str">
            <v>กิจไพศาลคอนสตรัคชั่นฯ TTB</v>
          </cell>
          <cell r="C63" t="str">
            <v xml:space="preserve">บจ.กิจไพศาลคอนสตรัคชั่นแมททีเรียล </v>
          </cell>
          <cell r="D63" t="str">
            <v>TTB</v>
          </cell>
          <cell r="E63" t="str">
            <v>429-2-41109-9</v>
          </cell>
        </row>
        <row r="64">
          <cell r="B64" t="str">
            <v>กิจไพศาลวัสดุ</v>
          </cell>
          <cell r="C64" t="str">
            <v>กิจไพศาลวัสดุ</v>
          </cell>
          <cell r="D64" t="str">
            <v>BBL</v>
          </cell>
          <cell r="E64" t="str">
            <v>527-0-23289-4</v>
          </cell>
        </row>
        <row r="65">
          <cell r="B65" t="str">
            <v xml:space="preserve">กิจไพศาลวัสดุ </v>
          </cell>
          <cell r="C65" t="str">
            <v xml:space="preserve">นายพัชระ รุจิวิวัฒนกุล </v>
          </cell>
          <cell r="D65" t="str">
            <v>TTB</v>
          </cell>
          <cell r="E65" t="str">
            <v>429-2-35062-8</v>
          </cell>
        </row>
        <row r="66">
          <cell r="B66" t="str">
            <v xml:space="preserve">กิจไพศาลวัสดุ  </v>
          </cell>
          <cell r="C66" t="str">
            <v>นายพัชระ รุจิวิวัฒนกุล และ นางปริยากร รุจิวิวัฒนกุล</v>
          </cell>
          <cell r="D66" t="str">
            <v>Kbank</v>
          </cell>
          <cell r="E66" t="str">
            <v>208-3-67523-6</v>
          </cell>
        </row>
        <row r="67">
          <cell r="B67" t="str">
            <v>กิจไพศาลวัสดุ(ด่านชั่ง)</v>
          </cell>
          <cell r="C67" t="str">
            <v>ด.ญ.นรินทร์พร รุจิวิวัฒนกุล</v>
          </cell>
          <cell r="D67" t="str">
            <v>KTB</v>
          </cell>
          <cell r="E67" t="str">
            <v>361-0-26780-1</v>
          </cell>
        </row>
        <row r="68">
          <cell r="B68" t="str">
            <v>กิตตินันท์ค้าของเก่า</v>
          </cell>
          <cell r="C68" t="str">
            <v>นายนู เทียนอำไพ</v>
          </cell>
          <cell r="D68" t="str">
            <v>Kbank</v>
          </cell>
          <cell r="E68" t="str">
            <v>460-2-07971-1</v>
          </cell>
        </row>
        <row r="69">
          <cell r="B69" t="str">
            <v>กิ๊ฟ</v>
          </cell>
          <cell r="C69" t="str">
            <v>น.ส.ธนาภรณ์  รุจิวิวัฒนกุล</v>
          </cell>
          <cell r="D69" t="str">
            <v>BBL</v>
          </cell>
          <cell r="E69" t="str">
            <v>783-0-04515-4</v>
          </cell>
        </row>
        <row r="70">
          <cell r="B70" t="str">
            <v xml:space="preserve">กิ๊ฟ </v>
          </cell>
          <cell r="C70" t="str">
            <v>น.ส.ธนาภรณ์ รุจิวิวัฒนกุล</v>
          </cell>
          <cell r="D70" t="str">
            <v>TTB</v>
          </cell>
          <cell r="E70" t="str">
            <v>021-7-43342-4</v>
          </cell>
        </row>
        <row r="71">
          <cell r="B71" t="str">
            <v>กิ๊ฟ(ตู๋)</v>
          </cell>
          <cell r="C71" t="str">
            <v>น.ส.คนึงนิจ แสงสาคร</v>
          </cell>
          <cell r="D71" t="str">
            <v>Kbank</v>
          </cell>
          <cell r="E71" t="str">
            <v>691-2-03871-6</v>
          </cell>
        </row>
        <row r="72">
          <cell r="B72" t="str">
            <v>โกจุ่ง</v>
          </cell>
          <cell r="C72" t="str">
            <v>นายวรากร  จุลเสนีย์ชร</v>
          </cell>
          <cell r="D72" t="str">
            <v>BBL</v>
          </cell>
          <cell r="E72" t="str">
            <v>527-0-07575-6</v>
          </cell>
        </row>
        <row r="73">
          <cell r="B73" t="str">
            <v>โกจุ่ง (SM)</v>
          </cell>
          <cell r="C73" t="str">
            <v xml:space="preserve">นายวรากร  จุลเสนีย์ชร </v>
          </cell>
          <cell r="D73" t="str">
            <v>BBL</v>
          </cell>
          <cell r="E73" t="str">
            <v>527-0-27008-4</v>
          </cell>
        </row>
        <row r="74">
          <cell r="B74" t="str">
            <v>โกจุ่ง (โอนต่างประเทศ)</v>
          </cell>
          <cell r="C74" t="str">
            <v>นายวรากร  จุลเสนีย์ชร</v>
          </cell>
          <cell r="D74" t="str">
            <v>BBL</v>
          </cell>
          <cell r="E74" t="str">
            <v>527-0-25450-0</v>
          </cell>
        </row>
        <row r="75">
          <cell r="B75" t="str">
            <v>โกเจี้ยว</v>
          </cell>
          <cell r="C75" t="str">
            <v>นายนรเศรษฐ ลิ่มศิลา</v>
          </cell>
          <cell r="D75" t="str">
            <v>Kbank</v>
          </cell>
          <cell r="E75" t="str">
            <v>460-2-02970-6</v>
          </cell>
        </row>
        <row r="76">
          <cell r="B76" t="str">
            <v>โกช้วน</v>
          </cell>
          <cell r="C76" t="str">
            <v>นายสัมพันธ์ ลิ่มศิลา</v>
          </cell>
          <cell r="D76" t="str">
            <v>Kbank</v>
          </cell>
          <cell r="E76" t="str">
            <v>039-8-06351-1</v>
          </cell>
        </row>
        <row r="77">
          <cell r="B77" t="str">
            <v>โกช่อง(BBL)</v>
          </cell>
          <cell r="C77" t="str">
            <v>นายธนู   ทักษิณาวงศ์</v>
          </cell>
          <cell r="D77" t="str">
            <v>BBL</v>
          </cell>
          <cell r="E77" t="str">
            <v>527-0-02422-6</v>
          </cell>
        </row>
        <row r="78">
          <cell r="B78" t="str">
            <v>โกช่อง(KBank)</v>
          </cell>
          <cell r="C78" t="str">
            <v>นายธนู  ทักษิณาวงศ์</v>
          </cell>
          <cell r="D78" t="str">
            <v>Kbank</v>
          </cell>
          <cell r="E78" t="str">
            <v>460-2-00433-9</v>
          </cell>
        </row>
        <row r="79">
          <cell r="B79" t="str">
            <v>โกช่อง(SCB)</v>
          </cell>
          <cell r="C79" t="str">
            <v>นายธนู  ทักษิณาวงศ์ (บัญชีซื้อ$)</v>
          </cell>
          <cell r="D79" t="str">
            <v>SCB</v>
          </cell>
          <cell r="E79" t="str">
            <v>581-2-36413-7</v>
          </cell>
        </row>
        <row r="80">
          <cell r="B80" t="str">
            <v>โกชุ้น</v>
          </cell>
          <cell r="C80" t="str">
            <v>นายพิเชษฐ รุจิวิวัฒนกุล</v>
          </cell>
          <cell r="D80" t="str">
            <v>Kbank</v>
          </cell>
          <cell r="E80" t="str">
            <v>460-2-01397-4</v>
          </cell>
        </row>
        <row r="81">
          <cell r="B81" t="str">
            <v>โกชุ้น (ขนส่ง)</v>
          </cell>
          <cell r="C81" t="str">
            <v>นายมนตรี  อิสริยะวาณิช</v>
          </cell>
          <cell r="D81" t="str">
            <v>Kbank</v>
          </cell>
          <cell r="E81" t="str">
            <v>232-2-21346-0</v>
          </cell>
        </row>
        <row r="82">
          <cell r="B82" t="str">
            <v>โกดังสมบัติ</v>
          </cell>
          <cell r="C82" t="str">
            <v>คุณธีราภรณ์  พรชัยเจริญ</v>
          </cell>
          <cell r="D82" t="str">
            <v>Kbank</v>
          </cell>
          <cell r="E82" t="str">
            <v>232-2-31021-0</v>
          </cell>
        </row>
        <row r="83">
          <cell r="B83" t="str">
            <v>โกแดง</v>
          </cell>
          <cell r="C83" t="str">
            <v>นายธีรวัฒน์  สมแก้ว</v>
          </cell>
          <cell r="D83" t="str">
            <v>KTB</v>
          </cell>
          <cell r="E83" t="str">
            <v>361-0-08851-6</v>
          </cell>
        </row>
        <row r="84">
          <cell r="B84" t="str">
            <v xml:space="preserve">โกแดง </v>
          </cell>
          <cell r="C84" t="str">
            <v xml:space="preserve">นายธีรวัฒน์  สมแก้ว </v>
          </cell>
          <cell r="D84" t="str">
            <v>Kbank</v>
          </cell>
          <cell r="E84" t="str">
            <v>460-2-03450-5</v>
          </cell>
        </row>
        <row r="85">
          <cell r="B85" t="str">
            <v>โกต้ง</v>
          </cell>
          <cell r="C85" t="str">
            <v>นายอดิศักดิ์  รุจิวิวัฒนกุล</v>
          </cell>
          <cell r="D85" t="str">
            <v>Kbank</v>
          </cell>
          <cell r="E85" t="str">
            <v>460-2-01535-7</v>
          </cell>
        </row>
        <row r="86">
          <cell r="B86" t="str">
            <v xml:space="preserve">โกต้ง </v>
          </cell>
          <cell r="C86" t="str">
            <v>นายอดิศักดิ์   รุจิวิวัฒนกุล</v>
          </cell>
          <cell r="D86" t="str">
            <v>Kbank</v>
          </cell>
          <cell r="E86" t="str">
            <v>460-1-00333-9</v>
          </cell>
        </row>
        <row r="87">
          <cell r="B87" t="str">
            <v>โกต้ง (บัญชีส่วนตัว)</v>
          </cell>
          <cell r="C87" t="str">
            <v xml:space="preserve">นายอดิศักดิ์   รุจิวิวัฒนกุล </v>
          </cell>
          <cell r="D87" t="str">
            <v>Kbank</v>
          </cell>
          <cell r="E87" t="str">
            <v>220-1-11296-9</v>
          </cell>
        </row>
        <row r="88">
          <cell r="B88" t="str">
            <v>โกต้ง เพื่อ ธนาภรณ์</v>
          </cell>
          <cell r="C88" t="str">
            <v>นายอดิศักดิ์ รุจิวิวัฒนกุลเพื่อด.ญ.ธนาภรณ์</v>
          </cell>
          <cell r="D88" t="str">
            <v>Kbank</v>
          </cell>
          <cell r="E88" t="str">
            <v>460-2-02025-3</v>
          </cell>
        </row>
        <row r="89">
          <cell r="B89" t="str">
            <v>โกนัย(ขนส่ง)</v>
          </cell>
          <cell r="C89" t="str">
            <v>น.ส.ธานิยา  สอนเสริม</v>
          </cell>
          <cell r="D89" t="str">
            <v>SCB</v>
          </cell>
          <cell r="E89" t="str">
            <v>533-2-26880-3</v>
          </cell>
        </row>
        <row r="90">
          <cell r="B90" t="str">
            <v>โกนิว</v>
          </cell>
          <cell r="C90" t="str">
            <v>นายกิตติพัฒน์  ทองสนิท</v>
          </cell>
          <cell r="D90" t="str">
            <v>BBL</v>
          </cell>
          <cell r="E90" t="str">
            <v>527-0-10105-7</v>
          </cell>
        </row>
        <row r="91">
          <cell r="B91" t="str">
            <v>โกปั้ง</v>
          </cell>
          <cell r="C91" t="str">
            <v>คุณอักษร วัฒนกิจ</v>
          </cell>
          <cell r="D91" t="str">
            <v>Kbank</v>
          </cell>
          <cell r="E91" t="str">
            <v>259-2-17485-8</v>
          </cell>
        </row>
        <row r="92">
          <cell r="B92" t="str">
            <v>โกพันธ์</v>
          </cell>
          <cell r="C92" t="str">
            <v>นายสุรพันธุ์  อีงประเสริฐ</v>
          </cell>
          <cell r="D92" t="str">
            <v>BBL</v>
          </cell>
          <cell r="E92" t="str">
            <v>527-0-01853-3</v>
          </cell>
        </row>
        <row r="93">
          <cell r="B93" t="str">
            <v>โกฟุ้ก(ค่าน้ำมัน-เกาะสอง)BBL</v>
          </cell>
          <cell r="C93" t="str">
            <v>นายสง่า  กังวาล</v>
          </cell>
          <cell r="D93" t="str">
            <v>BBL</v>
          </cell>
          <cell r="E93" t="str">
            <v>291-3-05123-7</v>
          </cell>
        </row>
        <row r="94">
          <cell r="B94" t="str">
            <v>โกฟุ้ก(ค่าน้ำมัน-เกาะสอง)KBank</v>
          </cell>
          <cell r="C94" t="str">
            <v>นายกานต์  กังวาล</v>
          </cell>
          <cell r="D94" t="str">
            <v>Kbank</v>
          </cell>
          <cell r="E94" t="str">
            <v>460-1-01011-4</v>
          </cell>
        </row>
        <row r="95">
          <cell r="B95" t="str">
            <v>โกโรจน์ (ถัง)</v>
          </cell>
          <cell r="C95" t="str">
            <v>นายไพโรจน์  แก้วไพฑูรย์</v>
          </cell>
          <cell r="D95" t="str">
            <v>Kbank</v>
          </cell>
          <cell r="E95" t="str">
            <v>232-1-03997-1</v>
          </cell>
        </row>
        <row r="96">
          <cell r="B96" t="str">
            <v>โกเล็กค้าข้าว</v>
          </cell>
          <cell r="C96" t="str">
            <v>นายไพโรจน์  หนูสมตน</v>
          </cell>
          <cell r="D96" t="str">
            <v>Kbank</v>
          </cell>
          <cell r="E96" t="str">
            <v>232-2-19808-9</v>
          </cell>
        </row>
        <row r="97">
          <cell r="B97" t="str">
            <v>โกวอม (บัญชีส่วนตัว)</v>
          </cell>
          <cell r="C97" t="str">
            <v>นายพัชระ  รุจิวิวัฒนกุล</v>
          </cell>
          <cell r="D97" t="str">
            <v>KTB</v>
          </cell>
          <cell r="E97" t="str">
            <v>361-0-15857-3</v>
          </cell>
        </row>
        <row r="98">
          <cell r="B98" t="str">
            <v>โกวอม(บัญชีส่วนตัว)</v>
          </cell>
          <cell r="C98" t="str">
            <v>นายพัชระ รุจิวิวัฒนกุล</v>
          </cell>
          <cell r="D98" t="str">
            <v>BBL</v>
          </cell>
          <cell r="E98" t="str">
            <v>527-0-18984-7</v>
          </cell>
        </row>
        <row r="99">
          <cell r="B99" t="str">
            <v xml:space="preserve">โกวอม(บัญชีส่วนตัว) </v>
          </cell>
          <cell r="C99" t="str">
            <v xml:space="preserve">นายพัชระ  รุจิวิวัฒนกุล </v>
          </cell>
          <cell r="D99" t="str">
            <v>Kbank</v>
          </cell>
          <cell r="E99" t="str">
            <v>460-2-70508-2</v>
          </cell>
        </row>
        <row r="100">
          <cell r="B100" t="str">
            <v>โกหม้ก (ขนส่ง)</v>
          </cell>
          <cell r="C100" t="str">
            <v>นายมนตรี  ชลิศราพงศ์</v>
          </cell>
          <cell r="D100" t="str">
            <v>KTB</v>
          </cell>
          <cell r="E100" t="str">
            <v>806-1-33394-5</v>
          </cell>
        </row>
        <row r="101">
          <cell r="B101" t="str">
            <v>โกหย่ง</v>
          </cell>
          <cell r="C101" t="str">
            <v>นายยงศิลป์ อ๋องสุวรรณ</v>
          </cell>
          <cell r="D101" t="str">
            <v>BBL</v>
          </cell>
          <cell r="E101" t="str">
            <v>527-0-18045-7</v>
          </cell>
        </row>
        <row r="102">
          <cell r="B102" t="str">
            <v>โกอั้น</v>
          </cell>
          <cell r="C102" t="str">
            <v>นายสมบัติ ตันกุลธร</v>
          </cell>
          <cell r="D102" t="str">
            <v>Kbank</v>
          </cell>
          <cell r="E102" t="str">
            <v>460-2-01608-6</v>
          </cell>
        </row>
        <row r="103">
          <cell r="B103" t="str">
            <v xml:space="preserve">โกอั้น </v>
          </cell>
          <cell r="C103" t="str">
            <v>นายสมบัติ  ตันกุลธร</v>
          </cell>
          <cell r="D103" t="str">
            <v>Kbank</v>
          </cell>
          <cell r="E103" t="str">
            <v>460-2-01403-2</v>
          </cell>
        </row>
        <row r="104">
          <cell r="B104" t="str">
            <v>โกเอ (ขนส่ง)</v>
          </cell>
          <cell r="C104" t="str">
            <v>นายมนตรี  อิสริยะวาณิช</v>
          </cell>
          <cell r="D104" t="str">
            <v>Kbank</v>
          </cell>
          <cell r="E104" t="str">
            <v>232-2-21346-0</v>
          </cell>
        </row>
        <row r="105">
          <cell r="B105" t="str">
            <v>คณะทันตแพทยศาสตร์ มหาวิทยาลัยรังสิต</v>
          </cell>
          <cell r="C105" t="str">
            <v>คณะทันตแพทยศาสตร์ มหาวิทยาลัยรังสิต</v>
          </cell>
          <cell r="D105" t="str">
            <v>BBL</v>
          </cell>
          <cell r="E105" t="str">
            <v>020-0-66666-7</v>
          </cell>
        </row>
        <row r="106">
          <cell r="B106" t="str">
            <v>คลินิคมือถือ</v>
          </cell>
          <cell r="C106" t="str">
            <v>นางดาราวรรณ สังข์สิงห์และ/หรือ นายอลงกรณ์ สังข์สิงห์</v>
          </cell>
          <cell r="D106" t="str">
            <v>SCB</v>
          </cell>
          <cell r="E106" t="str">
            <v>581-2-29335-2</v>
          </cell>
        </row>
        <row r="107">
          <cell r="B107" t="str">
            <v xml:space="preserve">คลินิคมือถือ </v>
          </cell>
          <cell r="C107" t="str">
            <v>นายสมศักดิ์ สังข์สิงห์</v>
          </cell>
          <cell r="D107" t="str">
            <v>SCB</v>
          </cell>
          <cell r="E107" t="str">
            <v>581-2-13077-8</v>
          </cell>
        </row>
        <row r="108">
          <cell r="B108" t="str">
            <v>คอนโดปทุมวันรีสอร์ท</v>
          </cell>
          <cell r="C108" t="str">
            <v>คอนโดปทุมวันรีสอร์ท</v>
          </cell>
          <cell r="D108" t="str">
            <v>QRCode</v>
          </cell>
          <cell r="E108" t="str">
            <v>QRCode</v>
          </cell>
        </row>
        <row r="109">
          <cell r="B109" t="str">
            <v>คุณกชกร  รัตนพันธ์</v>
          </cell>
          <cell r="C109" t="str">
            <v>คุณกชกร  รัตนพันธ์</v>
          </cell>
          <cell r="D109" t="str">
            <v>KTB</v>
          </cell>
          <cell r="E109" t="str">
            <v>806-1-28074-4</v>
          </cell>
        </row>
        <row r="110">
          <cell r="B110" t="str">
            <v>คุณกมลพร  ปักษา</v>
          </cell>
          <cell r="C110" t="str">
            <v>คุณกมลพร  ปักษา</v>
          </cell>
          <cell r="D110" t="str">
            <v>SCB</v>
          </cell>
          <cell r="E110" t="str">
            <v>440-2-92904-0</v>
          </cell>
        </row>
        <row r="111">
          <cell r="B111" t="str">
            <v xml:space="preserve">คุณกมลพร  ปักษา </v>
          </cell>
          <cell r="C111" t="str">
            <v xml:space="preserve">คุณกมลพร  ปักษา </v>
          </cell>
          <cell r="D111" t="str">
            <v>GSB</v>
          </cell>
          <cell r="E111" t="str">
            <v>020-0888-4987-0</v>
          </cell>
        </row>
        <row r="112">
          <cell r="B112" t="str">
            <v>คุณกรชาญสิทธิ์  สุขแจ่ม</v>
          </cell>
          <cell r="C112" t="str">
            <v>คุณกรชาญสิทธิ์  สุขแจ่ม</v>
          </cell>
          <cell r="D112" t="str">
            <v>TTB</v>
          </cell>
          <cell r="E112" t="str">
            <v>429-2-36533-7</v>
          </cell>
        </row>
        <row r="113">
          <cell r="B113" t="str">
            <v>คุณกรรณพร  จันทโชติกุล</v>
          </cell>
          <cell r="C113" t="str">
            <v>คุณกรรณพร  จันทโชติกุล</v>
          </cell>
          <cell r="D113" t="str">
            <v>BBL</v>
          </cell>
          <cell r="E113" t="str">
            <v>291-0-81099-9</v>
          </cell>
        </row>
        <row r="114">
          <cell r="B114" t="str">
            <v>คุณกำธร  ศรีบุณยะแก้ว</v>
          </cell>
          <cell r="C114" t="str">
            <v>คุณกำธร  ศรีบุณยะแก้ว</v>
          </cell>
          <cell r="D114" t="str">
            <v>Kbank</v>
          </cell>
          <cell r="E114" t="str">
            <v>115-2-22870-4</v>
          </cell>
        </row>
        <row r="115">
          <cell r="B115" t="str">
            <v>คุณกิตติพงษ์และคุณชลกานต์</v>
          </cell>
          <cell r="C115" t="str">
            <v>คุณกิตติพงษ์และคุณชลกานต์</v>
          </cell>
          <cell r="D115" t="str">
            <v>Kbank</v>
          </cell>
          <cell r="E115" t="str">
            <v>460-2-05482-4</v>
          </cell>
        </row>
        <row r="116">
          <cell r="B116" t="str">
            <v>คุณเกรียงไกร  เหลืองอ่อน</v>
          </cell>
          <cell r="C116" t="str">
            <v>คุณเกรียงไกร  เหลืองอ่อน</v>
          </cell>
          <cell r="D116" t="str">
            <v>Kbank</v>
          </cell>
          <cell r="E116" t="str">
            <v>012-8-79028-4</v>
          </cell>
        </row>
        <row r="117">
          <cell r="B117" t="str">
            <v>คุณขนิษฐา เสนาพิทักษ์</v>
          </cell>
          <cell r="C117" t="str">
            <v>คุณขนิษฐา เสนาพิทักษ์</v>
          </cell>
          <cell r="D117" t="str">
            <v>KTB</v>
          </cell>
          <cell r="E117" t="str">
            <v>806-0-62084-3</v>
          </cell>
        </row>
        <row r="118">
          <cell r="B118" t="str">
            <v>คุณจิน  เกษมดำรงค์กุล</v>
          </cell>
          <cell r="C118" t="str">
            <v>คุณจิน  เกษมดำรงค์กุล</v>
          </cell>
          <cell r="D118" t="str">
            <v>KTB</v>
          </cell>
          <cell r="E118" t="str">
            <v>001-0-05563-0</v>
          </cell>
        </row>
        <row r="119">
          <cell r="B119" t="str">
            <v>คุณจีระศิริ  ศรีเมือง</v>
          </cell>
          <cell r="C119" t="str">
            <v>คุณจีระศิริ  ศรีเมือง</v>
          </cell>
          <cell r="D119" t="str">
            <v>KTB</v>
          </cell>
          <cell r="E119" t="str">
            <v>361-0-42101-0</v>
          </cell>
        </row>
        <row r="120">
          <cell r="B120" t="str">
            <v>คุณชนันธร  ดีเลิศ</v>
          </cell>
          <cell r="C120" t="str">
            <v>คุณชนันธร  ดีเลิศ</v>
          </cell>
          <cell r="D120" t="str">
            <v>GSB</v>
          </cell>
          <cell r="E120" t="str">
            <v>020-0-8395733-0</v>
          </cell>
        </row>
        <row r="121">
          <cell r="B121" t="str">
            <v>คุณชลกานต์   กุลฐิติกิจ</v>
          </cell>
          <cell r="C121" t="str">
            <v>คุณชลกานต์   กุลฐิติกิจ</v>
          </cell>
          <cell r="D121" t="str">
            <v>TTB</v>
          </cell>
          <cell r="E121" t="str">
            <v>429-2-05907-0</v>
          </cell>
        </row>
        <row r="122">
          <cell r="B122" t="str">
            <v>คุณชลกานต์  กุลฐิติกิจ</v>
          </cell>
          <cell r="C122" t="str">
            <v>คุณชลกานต์  กุลฐิติกิจ</v>
          </cell>
          <cell r="D122" t="str">
            <v>TTB</v>
          </cell>
          <cell r="E122" t="str">
            <v>215-2-41558-0</v>
          </cell>
        </row>
        <row r="123">
          <cell r="B123" t="str">
            <v>คุณเชาว์  สงวนศักดิ์</v>
          </cell>
          <cell r="C123" t="str">
            <v>คุณเชาว์  สงวนศักดิ์</v>
          </cell>
          <cell r="D123" t="str">
            <v>KTB</v>
          </cell>
          <cell r="E123" t="str">
            <v>210-6-01616-6</v>
          </cell>
        </row>
        <row r="124">
          <cell r="B124" t="str">
            <v>คุณฐภรภัทร  ตัน</v>
          </cell>
          <cell r="C124" t="str">
            <v>คุณฐภรภัทร  ตัน</v>
          </cell>
          <cell r="D124" t="str">
            <v>SCB</v>
          </cell>
          <cell r="E124" t="str">
            <v>581-2-22604-6</v>
          </cell>
        </row>
        <row r="125">
          <cell r="B125" t="str">
            <v>คุณเดชาพัชร จตุรพร</v>
          </cell>
          <cell r="C125" t="str">
            <v>คุณเดชาพัชร จตุรพร</v>
          </cell>
          <cell r="D125" t="str">
            <v>Kbank</v>
          </cell>
          <cell r="E125" t="str">
            <v>024-3-36851-0</v>
          </cell>
        </row>
        <row r="126">
          <cell r="B126" t="str">
            <v>คุณธนกฤต  ธีรรัตนางกูร</v>
          </cell>
          <cell r="C126" t="str">
            <v>คุณธนกฤต  ธีรรัตนางกูร</v>
          </cell>
          <cell r="D126" t="str">
            <v>Kbank</v>
          </cell>
          <cell r="E126" t="str">
            <v>460-2-09378-1</v>
          </cell>
        </row>
        <row r="127">
          <cell r="B127" t="str">
            <v>คุณธนัญญา ล้อมวัฒนธรรม</v>
          </cell>
          <cell r="C127" t="str">
            <v>คุณธนัญญา ล้อมวัฒนธรรม</v>
          </cell>
          <cell r="D127" t="str">
            <v>Kbank</v>
          </cell>
          <cell r="E127" t="str">
            <v>120-1-96429-2</v>
          </cell>
        </row>
        <row r="128">
          <cell r="B128" t="str">
            <v>คุณธนุชภรณ์ นพรัตน์</v>
          </cell>
          <cell r="C128" t="str">
            <v>คุณธนุชภรณ์ นพรัตน์</v>
          </cell>
          <cell r="D128" t="str">
            <v>SCB</v>
          </cell>
          <cell r="E128" t="str">
            <v>171-2-75981-0</v>
          </cell>
        </row>
        <row r="129">
          <cell r="B129" t="str">
            <v>คุณนนทรจน์ จันทร์สิงห์</v>
          </cell>
          <cell r="C129" t="str">
            <v>คุณนนทรจน์ จันทร์สิงห์</v>
          </cell>
          <cell r="D129" t="str">
            <v>Kbank</v>
          </cell>
          <cell r="E129" t="str">
            <v>460-2-04973-1</v>
          </cell>
        </row>
        <row r="130">
          <cell r="B130" t="str">
            <v>คุณน้องรัก  อินทสันต์</v>
          </cell>
          <cell r="C130" t="str">
            <v>คุณน้องรัก  อินทสันต์</v>
          </cell>
          <cell r="D130" t="str">
            <v>Kbank</v>
          </cell>
          <cell r="E130" t="str">
            <v>232-2-41703-1</v>
          </cell>
        </row>
        <row r="131">
          <cell r="B131" t="str">
            <v>คุณนิธิ  ทักษิณาวงศ์</v>
          </cell>
          <cell r="C131" t="str">
            <v>คุณนิธิ  ทักษิณาวงศ์</v>
          </cell>
          <cell r="D131" t="str">
            <v>BBL</v>
          </cell>
          <cell r="E131" t="str">
            <v>190-0-56824-5</v>
          </cell>
        </row>
        <row r="132">
          <cell r="B132" t="str">
            <v>คุณนิธิสา บุญเพ็ง</v>
          </cell>
          <cell r="C132" t="str">
            <v>คุณนิธิสา บุญเพ็ง</v>
          </cell>
          <cell r="D132" t="str">
            <v>Kbank</v>
          </cell>
          <cell r="E132" t="str">
            <v>075-8-06999-0</v>
          </cell>
        </row>
        <row r="133">
          <cell r="B133" t="str">
            <v>คุณนุช สร้อยปาน</v>
          </cell>
          <cell r="C133" t="str">
            <v>คุณนุช สร้อยปาน</v>
          </cell>
          <cell r="D133" t="str">
            <v>Kbank</v>
          </cell>
          <cell r="E133" t="str">
            <v>717-2-00368-5</v>
          </cell>
        </row>
        <row r="134">
          <cell r="B134" t="str">
            <v>คุณนุ้ย</v>
          </cell>
          <cell r="C134" t="str">
            <v>คุณนุ้ย  แจ้งประจักษ์</v>
          </cell>
          <cell r="D134" t="str">
            <v>BBL</v>
          </cell>
          <cell r="E134" t="str">
            <v>302-0-73087-9</v>
          </cell>
        </row>
        <row r="135">
          <cell r="B135" t="str">
            <v>คุณบุญชอบ ภาสดา</v>
          </cell>
          <cell r="C135" t="str">
            <v>คุณบุญชอบ ภาสดา</v>
          </cell>
          <cell r="D135" t="str">
            <v>SCB</v>
          </cell>
          <cell r="E135" t="str">
            <v>899-2-46020-9</v>
          </cell>
        </row>
        <row r="136">
          <cell r="B136" t="str">
            <v>คุณเบญจมาศ และ คุณสมชาย ศรีวิทิตกุล</v>
          </cell>
          <cell r="C136" t="str">
            <v>คุณเบญจมาศ และ คุณสมชาย ศรีวิทิตกุล</v>
          </cell>
          <cell r="D136" t="str">
            <v>SCB</v>
          </cell>
          <cell r="E136" t="str">
            <v>046-2-83384-5</v>
          </cell>
        </row>
        <row r="137">
          <cell r="B137" t="str">
            <v>คุณปริษา  สุขกล่ำรัตนา</v>
          </cell>
          <cell r="C137" t="str">
            <v>คุณปริษา  สุขกล่ำรัตนา</v>
          </cell>
          <cell r="D137" t="str">
            <v>KTB</v>
          </cell>
          <cell r="E137" t="str">
            <v>985-2-51386-9</v>
          </cell>
        </row>
        <row r="138">
          <cell r="B138" t="str">
            <v>คุณปรียาฉัตร</v>
          </cell>
          <cell r="C138" t="str">
            <v>นางปรียาฉัตร แซ่อุ๋ย</v>
          </cell>
          <cell r="D138" t="str">
            <v>SCB</v>
          </cell>
          <cell r="E138" t="str">
            <v>581-2-36909-8</v>
          </cell>
        </row>
        <row r="139">
          <cell r="B139" t="str">
            <v>คุณปัญญาพล พงษ์สุน</v>
          </cell>
          <cell r="C139" t="str">
            <v>คุณปัญญาพล พงษ์สุน</v>
          </cell>
          <cell r="D139" t="str">
            <v>Kbank</v>
          </cell>
          <cell r="E139" t="str">
            <v>460-2-03689-3</v>
          </cell>
        </row>
        <row r="140">
          <cell r="B140" t="str">
            <v>คุณพรชัย  บูรณเบญญา</v>
          </cell>
          <cell r="C140" t="str">
            <v>คุณพรชัย  บูรณเบญญา</v>
          </cell>
          <cell r="D140" t="str">
            <v>BBL</v>
          </cell>
          <cell r="E140" t="str">
            <v>170-0-20689-7</v>
          </cell>
        </row>
        <row r="141">
          <cell r="B141" t="str">
            <v>คุณพัฒนี  สื่อเจริญ</v>
          </cell>
          <cell r="C141" t="str">
            <v>คุณพัฒนี  สื่อเจริญ</v>
          </cell>
          <cell r="D141" t="str">
            <v>Kbank</v>
          </cell>
          <cell r="E141" t="str">
            <v>398-2-12279-2</v>
          </cell>
        </row>
        <row r="142">
          <cell r="B142" t="str">
            <v>คุณพิมพ์ลภัส  แซ่เซียว</v>
          </cell>
          <cell r="C142" t="str">
            <v>คุณพิมพ์ลภัส  แซ่เซียว</v>
          </cell>
          <cell r="D142" t="str">
            <v>KTB</v>
          </cell>
          <cell r="E142" t="str">
            <v>361-0-41711-0</v>
          </cell>
        </row>
        <row r="143">
          <cell r="B143" t="str">
            <v>คุณพิศิษฐ  วัลลภศิรินันท์</v>
          </cell>
          <cell r="C143" t="str">
            <v>คุณพิศิษฐ  วัลลภศิรินันท์</v>
          </cell>
          <cell r="D143" t="str">
            <v>Kbank</v>
          </cell>
          <cell r="E143" t="str">
            <v>731-2-73890-7</v>
          </cell>
        </row>
        <row r="144">
          <cell r="B144" t="str">
            <v>คุณเพิ่มสุวรรณ แย้มพงษ์</v>
          </cell>
          <cell r="C144" t="str">
            <v>คุณเพิ่มสุวรรณ แย้มพงษ์</v>
          </cell>
          <cell r="D144" t="str">
            <v>Kbank</v>
          </cell>
          <cell r="E144" t="str">
            <v>068-8-36394-2</v>
          </cell>
        </row>
        <row r="145">
          <cell r="B145" t="str">
            <v>คุณภสุ  ธนิตนนท์</v>
          </cell>
          <cell r="C145" t="str">
            <v>นายภสุ  ธนิตนนท์</v>
          </cell>
          <cell r="D145" t="str">
            <v>Kbank</v>
          </cell>
          <cell r="E145" t="str">
            <v>842-2-00842-0</v>
          </cell>
        </row>
        <row r="146">
          <cell r="B146" t="str">
            <v>คุณภาวิณี ลีละบรรยงค์</v>
          </cell>
          <cell r="C146" t="str">
            <v>นางภาวิณี ลีละบรรยงค์</v>
          </cell>
          <cell r="D146" t="str">
            <v>กรุงศรี</v>
          </cell>
          <cell r="E146" t="str">
            <v>528-1-41711-2</v>
          </cell>
        </row>
        <row r="147">
          <cell r="B147" t="str">
            <v>คุณยงยุทธ  จงสุวัฒน์</v>
          </cell>
          <cell r="C147" t="str">
            <v>คุณยงยุทธ  จงสุวัฒน์</v>
          </cell>
          <cell r="D147" t="str">
            <v>Kbank</v>
          </cell>
          <cell r="E147" t="str">
            <v>946-2-04055-2</v>
          </cell>
        </row>
        <row r="148">
          <cell r="B148" t="str">
            <v>คุณยงยุทธ  ทองนรินทร์</v>
          </cell>
          <cell r="C148" t="str">
            <v>คุณยงยุทธ  ทองนรินทร์</v>
          </cell>
          <cell r="D148" t="str">
            <v>BBL</v>
          </cell>
          <cell r="E148" t="str">
            <v>301-5-20394-0</v>
          </cell>
        </row>
        <row r="149">
          <cell r="B149" t="str">
            <v>คุณยงยุทธ ทองนรินทร์</v>
          </cell>
          <cell r="C149" t="str">
            <v>คุณยงยุทธ ทองนรินทร์</v>
          </cell>
          <cell r="D149" t="str">
            <v>Kbank</v>
          </cell>
          <cell r="E149" t="str">
            <v>015-3-29267-1</v>
          </cell>
        </row>
        <row r="150">
          <cell r="B150" t="str">
            <v>คุณเล็ก(แฟนโกช่อง)</v>
          </cell>
          <cell r="C150" t="str">
            <v>น.ส.เพชรนภา  วิไลเจริญตระกูล</v>
          </cell>
          <cell r="D150" t="str">
            <v>SCB</v>
          </cell>
          <cell r="E150" t="str">
            <v>581-2-13145-3</v>
          </cell>
        </row>
        <row r="151">
          <cell r="B151" t="str">
            <v>คุณเล็ก(ค่าน้ำแข็ง)</v>
          </cell>
          <cell r="C151" t="str">
            <v xml:space="preserve">น.ส.เพชรนภา  วิไลเจริญตระกูล </v>
          </cell>
          <cell r="D151" t="str">
            <v>SCB</v>
          </cell>
          <cell r="E151" t="str">
            <v>425-2-30766-8</v>
          </cell>
        </row>
        <row r="152">
          <cell r="B152" t="str">
            <v>คุณวันชัย สาระเวก</v>
          </cell>
          <cell r="C152" t="str">
            <v>นายวันชัย สาระเวก</v>
          </cell>
          <cell r="D152" t="str">
            <v>Kbank</v>
          </cell>
          <cell r="E152" t="str">
            <v>180-2-38853-1</v>
          </cell>
        </row>
        <row r="153">
          <cell r="B153" t="str">
            <v>คุณวิเชียร  บุตรศรี</v>
          </cell>
          <cell r="C153" t="str">
            <v>นายวิเชียร  บุตรศรี</v>
          </cell>
          <cell r="D153" t="str">
            <v>BBL</v>
          </cell>
          <cell r="E153" t="str">
            <v>527-0-13638-4</v>
          </cell>
        </row>
        <row r="154">
          <cell r="B154" t="str">
            <v>คุณวุฒิ พิบูลรุจนานนท์</v>
          </cell>
          <cell r="C154" t="str">
            <v>คุณวุฒิ พิบูลรุจนานนท์</v>
          </cell>
          <cell r="D154" t="str">
            <v>Kbank</v>
          </cell>
          <cell r="E154" t="str">
            <v>460-2-02757-6</v>
          </cell>
        </row>
        <row r="155">
          <cell r="B155" t="str">
            <v>คุณวุฒิพันธ์  ศรีตะเถระ</v>
          </cell>
          <cell r="C155" t="str">
            <v>คุณวุฒิพันธ์  ศรีตะเถระ</v>
          </cell>
          <cell r="D155" t="str">
            <v>Kbank</v>
          </cell>
          <cell r="E155" t="str">
            <v>779-2-01445-8</v>
          </cell>
        </row>
        <row r="156">
          <cell r="B156" t="str">
            <v>คุณศรีไพร  ทองขาวขำ</v>
          </cell>
          <cell r="C156" t="str">
            <v>คุณศรีไพร  ทองขาวขำ</v>
          </cell>
          <cell r="D156" t="str">
            <v>KTB</v>
          </cell>
          <cell r="E156" t="str">
            <v>110-1-69492-0</v>
          </cell>
        </row>
        <row r="157">
          <cell r="B157" t="str">
            <v>คุณศศิพร ไทรชมภู</v>
          </cell>
          <cell r="C157" t="str">
            <v>คุณศศิพร ไทรชมภู</v>
          </cell>
          <cell r="D157" t="str">
            <v>BBL</v>
          </cell>
          <cell r="E157" t="str">
            <v>276-4-75862-5</v>
          </cell>
        </row>
        <row r="158">
          <cell r="B158" t="str">
            <v>คุณศศิพร  ไทรชมภู</v>
          </cell>
          <cell r="C158" t="str">
            <v>คุณศศิพร  ไทรชมภู</v>
          </cell>
          <cell r="D158" t="str">
            <v>SCB</v>
          </cell>
          <cell r="E158" t="str">
            <v>940-2-46427-8</v>
          </cell>
        </row>
        <row r="159">
          <cell r="B159" t="str">
            <v>คุณศศิวัณย์  ชูชัยวิวัฒน์</v>
          </cell>
          <cell r="C159" t="str">
            <v>คุณศศิวัณย์  ชูชัยวิวัฒน์</v>
          </cell>
          <cell r="D159" t="str">
            <v>KTB</v>
          </cell>
          <cell r="E159" t="str">
            <v>832-1-33284-6</v>
          </cell>
        </row>
        <row r="160">
          <cell r="B160" t="str">
            <v>คุณศิรินภา   เพียรบางยาง</v>
          </cell>
          <cell r="C160" t="str">
            <v>คุณศิรินภา   เพียรบางยาง</v>
          </cell>
          <cell r="D160" t="str">
            <v>Kbank</v>
          </cell>
          <cell r="E160" t="str">
            <v>158-3-91314-5</v>
          </cell>
        </row>
        <row r="161">
          <cell r="B161" t="str">
            <v>คุณศิรินภา  เพียรบางยาง</v>
          </cell>
          <cell r="C161" t="str">
            <v>คุณศิรินภา  เพียรบางยาง</v>
          </cell>
          <cell r="D161" t="str">
            <v>Kbank</v>
          </cell>
          <cell r="E161" t="str">
            <v>140-2-03797-9</v>
          </cell>
        </row>
        <row r="162">
          <cell r="B162" t="str">
            <v>คุณสมรักษ์  ประสิทธิพร</v>
          </cell>
          <cell r="C162" t="str">
            <v>คุณสมรักษ์  ประสิทธิพร</v>
          </cell>
          <cell r="D162" t="str">
            <v>BBL</v>
          </cell>
          <cell r="E162" t="str">
            <v>302-4-11611-7</v>
          </cell>
        </row>
        <row r="163">
          <cell r="B163" t="str">
            <v>คุณสุดา  จันทร์แสนโรจน์</v>
          </cell>
          <cell r="C163" t="str">
            <v>คุณสุดา  จันทร์แสนโรจน์</v>
          </cell>
          <cell r="D163" t="str">
            <v>กรุงศรี</v>
          </cell>
          <cell r="E163" t="str">
            <v>124-1-27947-7</v>
          </cell>
        </row>
        <row r="164">
          <cell r="B164" t="str">
            <v>คุณสุทธิวรรณ ศิริ (วีซ่า)</v>
          </cell>
          <cell r="C164" t="str">
            <v>คุณสุทธิวรรณ ศิริ</v>
          </cell>
          <cell r="D164" t="str">
            <v>BBL</v>
          </cell>
          <cell r="E164" t="str">
            <v>118-4-18125-1</v>
          </cell>
        </row>
        <row r="165">
          <cell r="B165" t="str">
            <v>คุณสุรศักดิ์</v>
          </cell>
          <cell r="C165" t="str">
            <v>คุณสุรศักดิ์ สรรพกุล</v>
          </cell>
          <cell r="D165" t="str">
            <v>KTB</v>
          </cell>
          <cell r="E165" t="str">
            <v>361-0-27373-9</v>
          </cell>
        </row>
        <row r="166">
          <cell r="B166" t="str">
            <v>คุณอัศม์พงษ์  พนาวิชัยกุล</v>
          </cell>
          <cell r="C166" t="str">
            <v>คุณอัศม์พงษ์  พนาวิชัยกุล</v>
          </cell>
          <cell r="D166" t="str">
            <v>Kbank</v>
          </cell>
          <cell r="E166" t="str">
            <v>002-8-90964-0</v>
          </cell>
        </row>
        <row r="167">
          <cell r="B167" t="str">
            <v>คุณอำพรรณรัตน์  อยู่มอญ</v>
          </cell>
          <cell r="C167" t="str">
            <v>คุณอำพรรณรัตน์  อยู่มอญ</v>
          </cell>
          <cell r="D167" t="str">
            <v>Kbank</v>
          </cell>
          <cell r="E167" t="str">
            <v>731-2-29936-9</v>
          </cell>
        </row>
        <row r="168">
          <cell r="B168" t="str">
            <v>คุณอุไรวรรณ  พิบูลย์</v>
          </cell>
          <cell r="C168" t="str">
            <v>คุณอุไรวรรณ  พิบูลย์</v>
          </cell>
          <cell r="D168" t="str">
            <v>Kbank</v>
          </cell>
          <cell r="E168" t="str">
            <v>268-2-16078-3</v>
          </cell>
        </row>
        <row r="169">
          <cell r="B169" t="str">
            <v>คุณเอกชัย ศรีประดิษฐ์</v>
          </cell>
          <cell r="C169" t="str">
            <v>คุณเอกชัย ศรีประดิษฐ์</v>
          </cell>
          <cell r="D169" t="str">
            <v>กรุงศรี</v>
          </cell>
          <cell r="E169" t="str">
            <v>443-1-24622-6</v>
          </cell>
        </row>
        <row r="170">
          <cell r="B170" t="str">
            <v>เงินบริจาคกฐิน กสร.</v>
          </cell>
          <cell r="C170" t="str">
            <v>เงินบริจาคกฐิน กสร.</v>
          </cell>
          <cell r="D170" t="str">
            <v>KTB</v>
          </cell>
          <cell r="E170" t="str">
            <v>383-1-04488-0</v>
          </cell>
        </row>
        <row r="171">
          <cell r="B171" t="str">
            <v>เงินบำรุงศูนย์วิทยาศาสตร์การแพทย์ที่11 สุราษฎ์ธานี</v>
          </cell>
          <cell r="C171" t="str">
            <v>เงินบำรุงศูนย์วิทยาศาสตร์การแพทย์ที่11 สุราษฎ์ธานี</v>
          </cell>
          <cell r="D171" t="str">
            <v>KTB</v>
          </cell>
          <cell r="E171" t="str">
            <v>981-8-94859-9</v>
          </cell>
        </row>
        <row r="172">
          <cell r="B172" t="str">
            <v>เงินฝากเทศบาลต.ปากน้ำท่าเรือ</v>
          </cell>
          <cell r="C172" t="str">
            <v>เงินฝากเทศบาลต.ปากน้ำท่าเรือ</v>
          </cell>
          <cell r="D172" t="str">
            <v>KTB</v>
          </cell>
          <cell r="E172" t="str">
            <v>806-1-27100-1</v>
          </cell>
        </row>
        <row r="173">
          <cell r="B173" t="str">
            <v>จี้แนน(BBL)</v>
          </cell>
          <cell r="C173" t="str">
            <v>น.ส.สุวีดา วิริยานนท์</v>
          </cell>
          <cell r="D173" t="str">
            <v>BBL</v>
          </cell>
          <cell r="E173" t="str">
            <v>527-0-19055-5</v>
          </cell>
        </row>
        <row r="174">
          <cell r="B174" t="str">
            <v>จี้เมธ์</v>
          </cell>
          <cell r="C174" t="str">
            <v>น.ส.เมธ์วดี    รุจิวิวัฒนกุล</v>
          </cell>
          <cell r="D174" t="str">
            <v>Kbank</v>
          </cell>
          <cell r="E174" t="str">
            <v>787-2-11980-3</v>
          </cell>
        </row>
        <row r="175">
          <cell r="B175" t="str">
            <v>จี้เมธ์ Kbank</v>
          </cell>
          <cell r="C175" t="str">
            <v xml:space="preserve">น.ส.เมธ์วดี    รุจิวิวัฒนกุล  </v>
          </cell>
          <cell r="D175" t="str">
            <v>Kbank</v>
          </cell>
          <cell r="E175" t="str">
            <v>163-1-51906-3</v>
          </cell>
        </row>
        <row r="176">
          <cell r="B176" t="str">
            <v xml:space="preserve">จี้เมธ์ </v>
          </cell>
          <cell r="C176" t="str">
            <v>น.ส.เมธ์วดี  รุจิวิวัฒนกุล</v>
          </cell>
          <cell r="D176" t="str">
            <v>KTB</v>
          </cell>
          <cell r="E176" t="str">
            <v>806-0-43357-1</v>
          </cell>
        </row>
        <row r="177">
          <cell r="B177" t="str">
            <v xml:space="preserve">จี้เมธ์  </v>
          </cell>
          <cell r="C177" t="str">
            <v xml:space="preserve">น.ส.เมธ์วดี   รุจิวิวัฒนกุล </v>
          </cell>
          <cell r="D177" t="str">
            <v>BBL</v>
          </cell>
          <cell r="E177" t="str">
            <v>527-0-16256-2</v>
          </cell>
        </row>
        <row r="178">
          <cell r="B178" t="str">
            <v xml:space="preserve">จี้เมธ์   </v>
          </cell>
          <cell r="C178" t="str">
            <v xml:space="preserve">น.ส.เมธ์วดี   รุจิวิวัฒนกุล  </v>
          </cell>
          <cell r="D178" t="str">
            <v>TTB</v>
          </cell>
          <cell r="E178" t="str">
            <v>429-2-46474-2</v>
          </cell>
        </row>
        <row r="179">
          <cell r="B179" t="str">
            <v>จี้เมธ์   .</v>
          </cell>
          <cell r="C179" t="str">
            <v xml:space="preserve"> น.ส. เมธ์วดี   รุจิวิวัฒนกุล</v>
          </cell>
          <cell r="D179" t="str">
            <v>TTB</v>
          </cell>
          <cell r="E179" t="str">
            <v>429-2-41105-7</v>
          </cell>
        </row>
        <row r="180">
          <cell r="B180" t="str">
            <v>จี้เมธ์ .</v>
          </cell>
          <cell r="C180" t="str">
            <v>น.ส.เมธ์วดี   รุจิวิวัฒนกุล</v>
          </cell>
          <cell r="D180" t="str">
            <v>BBL</v>
          </cell>
          <cell r="E180" t="str">
            <v>527-0-26230-5</v>
          </cell>
        </row>
        <row r="181">
          <cell r="B181" t="str">
            <v>จี้เมธ์.</v>
          </cell>
          <cell r="C181" t="str">
            <v>น.ส. เมธ์วดี   รุจิวิวัฒนกุล</v>
          </cell>
          <cell r="D181" t="str">
            <v>BBL</v>
          </cell>
          <cell r="E181" t="str">
            <v>527-0-25845-1</v>
          </cell>
        </row>
        <row r="182">
          <cell r="B182" t="str">
            <v>จี้เมธ์ GSB</v>
          </cell>
          <cell r="C182" t="str">
            <v xml:space="preserve">น.ส.เมธ์วดี   รุจิวิวัฒนกุล   </v>
          </cell>
          <cell r="D182" t="str">
            <v>GSB</v>
          </cell>
          <cell r="E182" t="str">
            <v>020-3-9768506-4</v>
          </cell>
        </row>
        <row r="183">
          <cell r="B183" t="str">
            <v>จี้หม่วย</v>
          </cell>
          <cell r="C183" t="str">
            <v>นางจิดาภา รุจิวิวัฒนกุล</v>
          </cell>
          <cell r="D183" t="str">
            <v>TTB</v>
          </cell>
          <cell r="E183" t="str">
            <v>429-2-38033-6</v>
          </cell>
        </row>
        <row r="184">
          <cell r="B184" t="str">
            <v>จี้หม่วย(ค่าผ่านแพ)</v>
          </cell>
          <cell r="C184" t="str">
            <v xml:space="preserve">นางจิดาภา  รุจิวิวัฒนกุล </v>
          </cell>
          <cell r="D184" t="str">
            <v>Kbank</v>
          </cell>
          <cell r="E184" t="str">
            <v>232-2-30082-7</v>
          </cell>
        </row>
        <row r="185">
          <cell r="B185" t="str">
            <v>จี้หม่อย</v>
          </cell>
          <cell r="C185" t="str">
            <v>นางนภาพร  ตีรวัฒน์</v>
          </cell>
          <cell r="D185" t="str">
            <v>BBL</v>
          </cell>
          <cell r="E185" t="str">
            <v>783-0-01693-2</v>
          </cell>
        </row>
        <row r="186">
          <cell r="B186" t="str">
            <v>จี้หยิน</v>
          </cell>
          <cell r="C186" t="str">
            <v>นางสุวรรณา ลิ่มศิลา</v>
          </cell>
          <cell r="D186" t="str">
            <v>Kbank</v>
          </cell>
          <cell r="E186" t="str">
            <v>758-2-25286-0</v>
          </cell>
        </row>
        <row r="187">
          <cell r="B187" t="str">
            <v xml:space="preserve">จี้หยิน </v>
          </cell>
          <cell r="C187" t="str">
            <v>นางสุวรรณา  ลิ่มศิลา</v>
          </cell>
          <cell r="D187" t="str">
            <v>BBL</v>
          </cell>
          <cell r="E187" t="str">
            <v>211-0-84371-7</v>
          </cell>
        </row>
        <row r="188">
          <cell r="B188" t="str">
            <v xml:space="preserve">จี้หยิน  </v>
          </cell>
          <cell r="C188" t="str">
            <v xml:space="preserve">นางสุวรรณา ลิ่มศิลา </v>
          </cell>
          <cell r="D188" t="str">
            <v>Kbank</v>
          </cell>
          <cell r="E188" t="str">
            <v>460-2-01547-0</v>
          </cell>
        </row>
        <row r="189">
          <cell r="B189" t="str">
            <v>จุ๋มจิ๋มพลาซ่า</v>
          </cell>
          <cell r="C189" t="str">
            <v>น.ส.นิตย์ชนก อำพันธ์สุข</v>
          </cell>
          <cell r="D189" t="str">
            <v>SCB</v>
          </cell>
          <cell r="E189" t="str">
            <v>581-2-25366-1</v>
          </cell>
        </row>
        <row r="190">
          <cell r="B190" t="str">
            <v>เจ้ส่วน</v>
          </cell>
          <cell r="C190" t="str">
            <v>นายมนูญ  ต้นน้ำนิ่ง</v>
          </cell>
          <cell r="D190" t="str">
            <v>ธกส</v>
          </cell>
          <cell r="E190" t="str">
            <v>016-1-9239591-6</v>
          </cell>
        </row>
        <row r="191">
          <cell r="B191" t="str">
            <v>ชมรมแพปลาจ.ระนอง</v>
          </cell>
          <cell r="C191" t="str">
            <v>ชมรมแพปลาจ.ระนอง</v>
          </cell>
          <cell r="D191" t="str">
            <v>BBL</v>
          </cell>
          <cell r="E191" t="str">
            <v>527-0-24187-9</v>
          </cell>
        </row>
        <row r="192">
          <cell r="B192" t="str">
            <v>ชัยวัฒน์การช่าง</v>
          </cell>
          <cell r="C192" t="str">
            <v>นายวิสุข แซ่ตัน</v>
          </cell>
          <cell r="D192" t="str">
            <v>Kbank</v>
          </cell>
          <cell r="E192" t="str">
            <v>460-2-00354-5</v>
          </cell>
        </row>
        <row r="193">
          <cell r="B193" t="str">
            <v>ชัยสิงห์ชิปปิ้ง</v>
          </cell>
          <cell r="C193" t="str">
            <v>นายชัยสิงห์  ทองเกื้อ</v>
          </cell>
          <cell r="D193" t="str">
            <v>Kbank</v>
          </cell>
          <cell r="E193" t="str">
            <v>232-2-11464-0</v>
          </cell>
        </row>
        <row r="194">
          <cell r="B194" t="str">
            <v>ช่าง ประพล</v>
          </cell>
          <cell r="C194" t="str">
            <v>นายประพล  บุญอินทร์</v>
          </cell>
          <cell r="D194" t="str">
            <v>SCB</v>
          </cell>
          <cell r="E194" t="str">
            <v>424-0-46846-0</v>
          </cell>
        </row>
        <row r="195">
          <cell r="B195" t="str">
            <v>ช่างเก่ง</v>
          </cell>
          <cell r="C195" t="str">
            <v>นายเจริญชัย  ศิริพาสาร</v>
          </cell>
          <cell r="D195" t="str">
            <v>Kbank</v>
          </cell>
          <cell r="E195" t="str">
            <v>052-1-81493-4</v>
          </cell>
        </row>
        <row r="196">
          <cell r="B196" t="str">
            <v xml:space="preserve">ช่างเก่ง </v>
          </cell>
          <cell r="C196" t="str">
            <v>นางศิริรัตน์  ศิริพาสาร</v>
          </cell>
          <cell r="D196" t="str">
            <v>Kbank</v>
          </cell>
          <cell r="E196" t="str">
            <v>131-3-69757-2</v>
          </cell>
        </row>
        <row r="197">
          <cell r="B197" t="str">
            <v>ช่างไก่</v>
          </cell>
          <cell r="C197" t="str">
            <v>นายปิยะวัฒน์  แก้วทรัพย์</v>
          </cell>
          <cell r="D197" t="str">
            <v>TTB</v>
          </cell>
          <cell r="E197" t="str">
            <v>038-7-27476-4</v>
          </cell>
        </row>
        <row r="198">
          <cell r="B198" t="str">
            <v>ช่างซ่อมเครน</v>
          </cell>
          <cell r="C198" t="str">
            <v>นายชายแดน เห็มสังหาร</v>
          </cell>
          <cell r="D198" t="str">
            <v>Kbank</v>
          </cell>
          <cell r="E198" t="str">
            <v>340-0-37192-8</v>
          </cell>
        </row>
        <row r="199">
          <cell r="B199" t="str">
            <v>ช่างเดช</v>
          </cell>
          <cell r="C199" t="str">
            <v>นายปิยเดช รชดินโอภาส</v>
          </cell>
          <cell r="D199" t="str">
            <v>Kbank</v>
          </cell>
          <cell r="E199" t="str">
            <v>011-8-37507-6</v>
          </cell>
        </row>
        <row r="200">
          <cell r="B200" t="str">
            <v xml:space="preserve">ช่างเดช </v>
          </cell>
          <cell r="C200" t="str">
            <v xml:space="preserve">นายปิยเดช รชดินโอภาส </v>
          </cell>
          <cell r="D200" t="str">
            <v>Kbank</v>
          </cell>
          <cell r="E200" t="str">
            <v>008-8-18597-8</v>
          </cell>
        </row>
        <row r="201">
          <cell r="B201" t="str">
            <v xml:space="preserve">ช่างเดช  </v>
          </cell>
          <cell r="C201" t="str">
            <v xml:space="preserve">นายปิยเดช  รชดินโอภาส </v>
          </cell>
          <cell r="D201" t="str">
            <v>Kbank</v>
          </cell>
          <cell r="E201" t="str">
            <v>213-8-58533-9</v>
          </cell>
        </row>
        <row r="202">
          <cell r="B202" t="str">
            <v>ช่างบี้</v>
          </cell>
          <cell r="C202" t="str">
            <v>มาลินี อาลัยกลาง</v>
          </cell>
          <cell r="D202" t="str">
            <v>Kbank</v>
          </cell>
          <cell r="E202" t="str">
            <v>033-8-50658-9</v>
          </cell>
        </row>
        <row r="203">
          <cell r="B203" t="str">
            <v>ช่างประพล</v>
          </cell>
          <cell r="C203" t="str">
            <v>นายประพล บุญอินทร์</v>
          </cell>
          <cell r="D203" t="str">
            <v>BBL</v>
          </cell>
          <cell r="E203" t="str">
            <v>291-0-67501-2</v>
          </cell>
        </row>
        <row r="204">
          <cell r="B204" t="str">
            <v xml:space="preserve">ช่างประพล </v>
          </cell>
          <cell r="C204" t="str">
            <v xml:space="preserve">นายประพล บุญอินทร์ </v>
          </cell>
          <cell r="D204" t="str">
            <v>KTB</v>
          </cell>
          <cell r="E204" t="str">
            <v>806-0-65004-1</v>
          </cell>
        </row>
        <row r="205">
          <cell r="B205" t="str">
            <v>ช่างพร</v>
          </cell>
          <cell r="C205" t="str">
            <v>นายอนันต์ชัย  รอดตัวดี</v>
          </cell>
          <cell r="D205" t="str">
            <v>BBL</v>
          </cell>
          <cell r="E205" t="str">
            <v>211-0-62990-0</v>
          </cell>
        </row>
        <row r="206">
          <cell r="B206" t="str">
            <v xml:space="preserve">ช่างพร </v>
          </cell>
          <cell r="C206" t="str">
            <v>นายอนันต์ชัย   รอดตัวดี</v>
          </cell>
          <cell r="D206" t="str">
            <v>GSB</v>
          </cell>
          <cell r="E206" t="str">
            <v>020-0-6749049-8</v>
          </cell>
        </row>
        <row r="207">
          <cell r="B207" t="str">
            <v xml:space="preserve">ช่างพร   </v>
          </cell>
          <cell r="C207" t="str">
            <v xml:space="preserve">นายอนันต์ชัย  รอดตัวดี </v>
          </cell>
          <cell r="D207" t="str">
            <v>BBL</v>
          </cell>
          <cell r="E207" t="str">
            <v>268-4-58302-0</v>
          </cell>
        </row>
        <row r="208">
          <cell r="B208" t="str">
            <v>ช่างพร.</v>
          </cell>
          <cell r="C208" t="str">
            <v>นางอัจฉรา  จารุประกร</v>
          </cell>
          <cell r="D208" t="str">
            <v>Kbank</v>
          </cell>
          <cell r="E208" t="str">
            <v>008-2-44603-8</v>
          </cell>
        </row>
        <row r="209">
          <cell r="B209" t="str">
            <v>ช่างพิศาล</v>
          </cell>
          <cell r="C209" t="str">
            <v>นายพิศาล  กลั่นสุรินทร์</v>
          </cell>
          <cell r="D209" t="str">
            <v>TTB</v>
          </cell>
          <cell r="E209" t="str">
            <v>791-2-00185-1</v>
          </cell>
        </row>
        <row r="210">
          <cell r="B210" t="str">
            <v>ช่างเพชร</v>
          </cell>
          <cell r="C210" t="str">
            <v>นายเดชา  เนาวพฤกษ์</v>
          </cell>
          <cell r="D210" t="str">
            <v>TTB</v>
          </cell>
          <cell r="E210" t="str">
            <v>429-2-21734-8</v>
          </cell>
        </row>
        <row r="211">
          <cell r="B211" t="str">
            <v>ช่างแมว</v>
          </cell>
          <cell r="C211" t="str">
            <v>นายธนโชติ  โพธิ์กลอย</v>
          </cell>
          <cell r="D211" t="str">
            <v>SCB</v>
          </cell>
          <cell r="E211" t="str">
            <v>581-2-34825-4</v>
          </cell>
        </row>
        <row r="212">
          <cell r="B212" t="str">
            <v>ช่างยุทธ (YTอิเลคทรอนิคส์)</v>
          </cell>
          <cell r="C212" t="str">
            <v>นายยงยุทธ  ทองนรินทร์</v>
          </cell>
          <cell r="D212" t="str">
            <v>BBL</v>
          </cell>
          <cell r="E212" t="str">
            <v>280-0-61546-6</v>
          </cell>
        </row>
        <row r="213">
          <cell r="B213" t="str">
            <v>ช่างเยื้อน</v>
          </cell>
          <cell r="C213" t="str">
            <v>นายเยื้อน  ช่วยมั่นคง</v>
          </cell>
          <cell r="D213" t="str">
            <v>BBL</v>
          </cell>
          <cell r="E213" t="str">
            <v>527-0-08356-0</v>
          </cell>
        </row>
        <row r="214">
          <cell r="B214" t="str">
            <v>ช่างรวม</v>
          </cell>
          <cell r="C214" t="str">
            <v>นายอดิศร  ศรีเมือง</v>
          </cell>
          <cell r="D214" t="str">
            <v>Kbank</v>
          </cell>
          <cell r="E214" t="str">
            <v>460-2-06579-6</v>
          </cell>
        </row>
        <row r="215">
          <cell r="B215" t="str">
            <v>ช่างรัตน์</v>
          </cell>
          <cell r="C215" t="str">
            <v>นายสุวิทย์  ประสิทธิ์เจริญ</v>
          </cell>
          <cell r="D215" t="str">
            <v>GSB</v>
          </cell>
          <cell r="E215" t="str">
            <v>020-4-3417968-3</v>
          </cell>
        </row>
        <row r="216">
          <cell r="B216" t="str">
            <v>ช่างวี</v>
          </cell>
          <cell r="C216" t="str">
            <v>นายทวี  ชัยฉิม</v>
          </cell>
          <cell r="D216" t="str">
            <v>Kbank</v>
          </cell>
          <cell r="E216" t="str">
            <v>006-1-58375-0</v>
          </cell>
        </row>
        <row r="217">
          <cell r="B217" t="str">
            <v>ช่างศักดิ์</v>
          </cell>
          <cell r="C217" t="str">
            <v>นายวัชรพงษ์  วงศ์จันทร์มณี</v>
          </cell>
          <cell r="D217" t="str">
            <v>TTB</v>
          </cell>
          <cell r="E217" t="str">
            <v>429-2-12310-8</v>
          </cell>
        </row>
        <row r="218">
          <cell r="B218" t="str">
            <v>ช่างสมคิด</v>
          </cell>
          <cell r="C218" t="str">
            <v>นายสมคิด  เรืองทิพย์</v>
          </cell>
          <cell r="D218" t="str">
            <v>SCB</v>
          </cell>
          <cell r="E218" t="str">
            <v>440-2-21532-8</v>
          </cell>
        </row>
        <row r="219">
          <cell r="B219" t="str">
            <v>ช่างสิงค์</v>
          </cell>
          <cell r="C219" t="str">
            <v>จาริศา สูงยิ่ง</v>
          </cell>
          <cell r="D219" t="str">
            <v>BBL</v>
          </cell>
          <cell r="E219" t="str">
            <v>291-0-83344-7</v>
          </cell>
        </row>
        <row r="220">
          <cell r="B220" t="str">
            <v>ช่างสุวิทย์</v>
          </cell>
          <cell r="C220" t="str">
            <v>นางสุนี  มิ่งสมร</v>
          </cell>
          <cell r="D220" t="str">
            <v>SCB</v>
          </cell>
          <cell r="E220" t="str">
            <v>704-2-51946-5</v>
          </cell>
        </row>
        <row r="221">
          <cell r="B221" t="str">
            <v xml:space="preserve">ช่างสุวิทย์ </v>
          </cell>
          <cell r="C221" t="str">
            <v>นายสุวิทย์  มิ่งสมร</v>
          </cell>
          <cell r="D221" t="str">
            <v>SCB</v>
          </cell>
          <cell r="E221" t="str">
            <v>437-0-88815-8</v>
          </cell>
        </row>
        <row r="222">
          <cell r="B222" t="str">
            <v>ช่างเสริฐ</v>
          </cell>
          <cell r="C222" t="str">
            <v>นายประเสริฐ และ บุญเรือง ไทรชมภู</v>
          </cell>
          <cell r="D222" t="str">
            <v>SCB</v>
          </cell>
          <cell r="E222" t="str">
            <v>611-3-01496-0</v>
          </cell>
        </row>
        <row r="223">
          <cell r="B223" t="str">
            <v>ช่างเสริฐ-โรงเลื่อย</v>
          </cell>
          <cell r="C223" t="str">
            <v>นายสมศักดิ์ จันทร์รุ่งรัศมี</v>
          </cell>
          <cell r="D223" t="str">
            <v>KTB</v>
          </cell>
          <cell r="E223" t="str">
            <v>806-1-59229-0</v>
          </cell>
        </row>
        <row r="224">
          <cell r="B224" t="str">
            <v>ช่างหมู</v>
          </cell>
          <cell r="C224" t="str">
            <v>นายธรรมนูญ  ชูสุข</v>
          </cell>
          <cell r="D224" t="str">
            <v>Kbank</v>
          </cell>
          <cell r="E224" t="str">
            <v>460-2-04283-4</v>
          </cell>
        </row>
        <row r="225">
          <cell r="B225" t="str">
            <v xml:space="preserve">ช่างหมู </v>
          </cell>
          <cell r="C225" t="str">
            <v xml:space="preserve">นายธรรมนูญ  ชูสุข </v>
          </cell>
          <cell r="D225" t="str">
            <v>KTB</v>
          </cell>
          <cell r="E225" t="str">
            <v>802-0-48306-3</v>
          </cell>
        </row>
        <row r="226">
          <cell r="B226" t="str">
            <v>ชาญสยามขนส่ง</v>
          </cell>
          <cell r="C226" t="str">
            <v>นายคุณัช  ตัณฑะจินนะ</v>
          </cell>
          <cell r="D226" t="str">
            <v>Kbank</v>
          </cell>
          <cell r="E226" t="str">
            <v>232-2-26225-9</v>
          </cell>
        </row>
        <row r="227">
          <cell r="B227" t="str">
            <v>ชาวระนองเพื่อการกุศล โดย นายธวัชชัย</v>
          </cell>
          <cell r="C227" t="str">
            <v>ชาวระนองเพื่อการกุศล โดย นายธวัชชัย</v>
          </cell>
          <cell r="D227" t="str">
            <v>QRCode</v>
          </cell>
          <cell r="E227" t="str">
            <v>QRCode</v>
          </cell>
        </row>
        <row r="228">
          <cell r="B228" t="str">
            <v>ชูศักดิ์การพิมพ์</v>
          </cell>
          <cell r="C228" t="str">
            <v>น.ส.นฤวรรณ  จันทร์บูรณะศิริ</v>
          </cell>
          <cell r="D228" t="str">
            <v>GSB</v>
          </cell>
          <cell r="E228" t="str">
            <v>020-3-02652-738</v>
          </cell>
        </row>
        <row r="229">
          <cell r="B229" t="str">
            <v xml:space="preserve">ชูศักดิ์การพิมพ์ </v>
          </cell>
          <cell r="C229" t="str">
            <v>นางทับทิม จันทร์บูรณะศิริ</v>
          </cell>
          <cell r="D229" t="str">
            <v>KTB</v>
          </cell>
          <cell r="E229" t="str">
            <v>806-0-63436-4</v>
          </cell>
        </row>
        <row r="230">
          <cell r="B230" t="str">
            <v>ณัฐชยาอะไหล่</v>
          </cell>
          <cell r="C230" t="str">
            <v>คุณภูวดล  พุทธสำราญ</v>
          </cell>
          <cell r="D230" t="str">
            <v>BAY</v>
          </cell>
          <cell r="E230" t="str">
            <v>777-9-23999-7</v>
          </cell>
        </row>
        <row r="231">
          <cell r="B231" t="str">
            <v>ด.ต.วิสิษฐ  สร้อยเสม</v>
          </cell>
          <cell r="C231" t="str">
            <v>ด.ต.วิสิษฐ  สร้อยเสม</v>
          </cell>
          <cell r="D231" t="str">
            <v>KTB</v>
          </cell>
          <cell r="E231" t="str">
            <v>806-1-61917-2</v>
          </cell>
        </row>
        <row r="232">
          <cell r="B232" t="str">
            <v>เดิน-วิ่ง ท้าฝน เมืองฝน8</v>
          </cell>
          <cell r="C232" t="str">
            <v>เดิน-วิ่ง ท้าฝน เมืองฝน8</v>
          </cell>
          <cell r="D232" t="str">
            <v>KTB</v>
          </cell>
          <cell r="E232" t="str">
            <v>806-0-75766-0</v>
          </cell>
        </row>
        <row r="233">
          <cell r="B233" t="str">
            <v>ต้นน้ำจืด</v>
          </cell>
          <cell r="C233" t="str">
            <v>นายสำราญ  เทพทอง</v>
          </cell>
          <cell r="D233" t="str">
            <v>KTB</v>
          </cell>
          <cell r="E233" t="str">
            <v>806-1-09217-4</v>
          </cell>
        </row>
        <row r="234">
          <cell r="B234" t="str">
            <v>ตะวันการค้า</v>
          </cell>
          <cell r="C234" t="str">
            <v>นายสุรศักดิ์  แซ่ตัน</v>
          </cell>
          <cell r="D234" t="str">
            <v>SCB</v>
          </cell>
          <cell r="E234" t="str">
            <v>581-2-08833-3</v>
          </cell>
        </row>
        <row r="235">
          <cell r="B235" t="str">
            <v>ตั้งข้าวสาร</v>
          </cell>
          <cell r="C235" t="str">
            <v>นายศุภสิทธิ  อรรคพิพัฒน์</v>
          </cell>
          <cell r="D235" t="str">
            <v>Kbank</v>
          </cell>
          <cell r="E235" t="str">
            <v>232-2-33224-9</v>
          </cell>
        </row>
        <row r="236">
          <cell r="B236" t="str">
            <v>ตันเก้ง (ที.เค. วัน)</v>
          </cell>
          <cell r="C236" t="str">
            <v>น.ส.รัฐนันท์  ตันติเวทเรืองเดช</v>
          </cell>
          <cell r="D236" t="str">
            <v>Kbank</v>
          </cell>
          <cell r="E236" t="str">
            <v>063-3-82366-9</v>
          </cell>
        </row>
        <row r="237">
          <cell r="B237" t="str">
            <v>ตันเก้ง (ที.เค.วัน)</v>
          </cell>
          <cell r="C237" t="str">
            <v>น.ส. รัฐนันท์  ตันติเวทเรืองเดช</v>
          </cell>
          <cell r="D237" t="str">
            <v>Kbank</v>
          </cell>
          <cell r="E237" t="str">
            <v>150-8-20100-8</v>
          </cell>
        </row>
        <row r="238">
          <cell r="B238" t="str">
            <v>ตู๋ (ค่าที่ดิน)</v>
          </cell>
          <cell r="C238" t="str">
            <v xml:space="preserve">นายพัฒนพงษ์  รุจิวิวัฒนกุล </v>
          </cell>
          <cell r="D238" t="str">
            <v>ธกส</v>
          </cell>
          <cell r="E238" t="str">
            <v>020-1-6603913-3</v>
          </cell>
        </row>
        <row r="239">
          <cell r="B239" t="str">
            <v>ตู๋ (ค่าบ้าน)</v>
          </cell>
          <cell r="C239" t="str">
            <v>นายพัฒนพงษ์ รุจิวิวัฒนกุล</v>
          </cell>
          <cell r="D239" t="str">
            <v>BBL</v>
          </cell>
          <cell r="E239" t="str">
            <v>527-0-21275-5</v>
          </cell>
        </row>
        <row r="240">
          <cell r="B240" t="str">
            <v>ตู๋ (เงินโอน)</v>
          </cell>
          <cell r="C240" t="str">
            <v xml:space="preserve">นายพัฒนพงษ์ รุจิวิวัฒนกุล </v>
          </cell>
          <cell r="D240" t="str">
            <v>BBL</v>
          </cell>
          <cell r="E240" t="str">
            <v>527-0-20615-3</v>
          </cell>
        </row>
        <row r="241">
          <cell r="B241" t="str">
            <v>ตู๋ (บัญชีท่าเรือ)</v>
          </cell>
          <cell r="C241" t="str">
            <v xml:space="preserve">นายพัฒนพงษ์ รุจิวิวัฒนกุล   </v>
          </cell>
          <cell r="D241" t="str">
            <v>Kbank</v>
          </cell>
          <cell r="E241" t="str">
            <v>024-3-28569-0</v>
          </cell>
        </row>
        <row r="242">
          <cell r="B242" t="str">
            <v>ถิรภาพกระจก</v>
          </cell>
          <cell r="C242" t="str">
            <v>คุณนันทา  นวมเผือก</v>
          </cell>
          <cell r="D242" t="str">
            <v>Kbank</v>
          </cell>
          <cell r="E242" t="str">
            <v>460-2-10703-0</v>
          </cell>
        </row>
        <row r="243">
          <cell r="B243" t="str">
            <v xml:space="preserve">ถิรภาพกระจก </v>
          </cell>
          <cell r="C243" t="str">
            <v>นายถิรภาพ  วิรุฬห์รักษ์สกุล</v>
          </cell>
          <cell r="D243" t="str">
            <v>TTB</v>
          </cell>
          <cell r="E243" t="str">
            <v>429-2-09698-1</v>
          </cell>
        </row>
        <row r="244">
          <cell r="B244" t="str">
            <v xml:space="preserve">ถิรภาพกระจก   </v>
          </cell>
          <cell r="C244" t="str">
            <v>คุณเบญญาณัช  วิรุฬห์รักษ์สกุล</v>
          </cell>
          <cell r="D244" t="str">
            <v>Kbank</v>
          </cell>
          <cell r="E244" t="str">
            <v>024-8-84562-7</v>
          </cell>
        </row>
        <row r="245">
          <cell r="B245" t="str">
            <v>ทวีศักดิ์การไฟฟ้า</v>
          </cell>
          <cell r="C245" t="str">
            <v>นายอาทิตย์ จตุพรพิทักษ์</v>
          </cell>
          <cell r="D245" t="str">
            <v>Kbank</v>
          </cell>
          <cell r="E245" t="str">
            <v>232-2-42122-5</v>
          </cell>
        </row>
        <row r="246">
          <cell r="B246" t="str">
            <v>ทิพย์ (ท่าเรือฯ)</v>
          </cell>
          <cell r="C246" t="str">
            <v>ณิชาภา  เคนโพธิ์</v>
          </cell>
          <cell r="D246" t="str">
            <v>P-Pay</v>
          </cell>
          <cell r="E246" t="str">
            <v>087-887-9922</v>
          </cell>
        </row>
        <row r="247">
          <cell r="B247" t="str">
            <v>ทิพย์ (ท่าเรือฯ)2</v>
          </cell>
          <cell r="C247" t="str">
            <v>น.ส.ณิชาภา  เคนโพธิ์</v>
          </cell>
          <cell r="D247" t="str">
            <v>P-Pay</v>
          </cell>
          <cell r="E247" t="str">
            <v>061-091-9922</v>
          </cell>
        </row>
        <row r="248">
          <cell r="B248" t="str">
            <v>ทิพย์(ท่าเรือฯ)</v>
          </cell>
          <cell r="C248" t="str">
            <v>น.ส. ณิชาภา  เคนโพธิ์</v>
          </cell>
          <cell r="D248" t="str">
            <v>BBL</v>
          </cell>
          <cell r="E248" t="str">
            <v>527-0-14379-4</v>
          </cell>
        </row>
        <row r="249">
          <cell r="B249" t="str">
            <v>เทศบาลตำบลปากน้ำท่าเรือ</v>
          </cell>
          <cell r="C249" t="str">
            <v>เทศบาลตำบลปากน้ำท่าเรือ</v>
          </cell>
          <cell r="D249" t="str">
            <v>QRCode</v>
          </cell>
          <cell r="E249" t="str">
            <v>QRCode</v>
          </cell>
        </row>
        <row r="250">
          <cell r="B250" t="str">
            <v>เทศบาลเมืองบางริ้น</v>
          </cell>
          <cell r="C250" t="str">
            <v>เทศบาลเมืองบางริ้น</v>
          </cell>
          <cell r="D250" t="str">
            <v>QRCode</v>
          </cell>
          <cell r="E250" t="str">
            <v>QRCode</v>
          </cell>
        </row>
        <row r="251">
          <cell r="B251" t="str">
            <v>ไทยประกันชีวิต</v>
          </cell>
          <cell r="C251" t="str">
            <v>ไทยประกันชีวิต</v>
          </cell>
          <cell r="D251" t="str">
            <v>QR CODE</v>
          </cell>
        </row>
        <row r="252">
          <cell r="B252" t="str">
            <v>ไทยอุดมไบโอเอ็นเนอร์ยี่</v>
          </cell>
          <cell r="C252" t="str">
            <v>บจ.ไทยอุดมไบโอเอ็นเนอร์ยี่</v>
          </cell>
          <cell r="D252" t="str">
            <v>SCB</v>
          </cell>
          <cell r="E252" t="str">
            <v>437-0-35524-4</v>
          </cell>
        </row>
        <row r="253">
          <cell r="B253" t="str">
            <v>ธเนตรแอร์</v>
          </cell>
          <cell r="C253" t="str">
            <v>นายธเนตร แก้วคำ</v>
          </cell>
          <cell r="D253" t="str">
            <v>KTB</v>
          </cell>
          <cell r="E253" t="str">
            <v>361-0-12422-9</v>
          </cell>
        </row>
        <row r="254">
          <cell r="B254" t="str">
            <v>น.ส.ชุฤณี  เอี่ยมองค์</v>
          </cell>
          <cell r="C254" t="str">
            <v>น.ส.ชุฤณี  เอี่ยมองค์</v>
          </cell>
          <cell r="D254" t="str">
            <v>Kbank</v>
          </cell>
          <cell r="E254" t="str">
            <v>232-2-26129-5</v>
          </cell>
        </row>
        <row r="255">
          <cell r="B255" t="str">
            <v>น.ส.ชุฤณี  เอี่ยมองค์(วิริยะประกันภัย)</v>
          </cell>
          <cell r="C255" t="str">
            <v xml:space="preserve">น.ส.ชุฤณี  เอี่ยมองค์ </v>
          </cell>
          <cell r="D255" t="str">
            <v>SCB</v>
          </cell>
          <cell r="E255" t="str">
            <v>406-7-22859-6</v>
          </cell>
        </row>
        <row r="256">
          <cell r="B256" t="str">
            <v>น.ส.ธนาภรณ์  เพราะดีงาม</v>
          </cell>
          <cell r="C256" t="str">
            <v>น.ส.ธนาภรณ์  เพราะดีงาม</v>
          </cell>
          <cell r="D256" t="str">
            <v>Kbank</v>
          </cell>
          <cell r="E256" t="str">
            <v>001-1-62081-7</v>
          </cell>
        </row>
        <row r="257">
          <cell r="B257" t="str">
            <v>น.ส.ธัญญาลักษมี บุญเกิด</v>
          </cell>
          <cell r="C257" t="str">
            <v>น.ส.ธัญญาลักษมี บุญเกิด</v>
          </cell>
          <cell r="D257" t="str">
            <v>Kbank</v>
          </cell>
          <cell r="E257" t="str">
            <v>023-1-28068-5</v>
          </cell>
        </row>
        <row r="258">
          <cell r="B258" t="str">
            <v>น.ส.ณิชนันนท์ รุจิวิวัฒนกุล</v>
          </cell>
          <cell r="C258" t="str">
            <v>น.ส.ณิชนันนท์ รุจิวิวัฒนกุล</v>
          </cell>
          <cell r="D258" t="str">
            <v>Kbank</v>
          </cell>
          <cell r="E258" t="str">
            <v>029-2-60581-1</v>
          </cell>
        </row>
        <row r="259">
          <cell r="B259" t="str">
            <v>น.ส.นภฤชา ปิ่นรัตนกุล (ช่างเดช)</v>
          </cell>
          <cell r="C259" t="str">
            <v>น.ส.นภฤชา ปิ่นรัตนกุล</v>
          </cell>
          <cell r="D259" t="str">
            <v>Kbank</v>
          </cell>
          <cell r="E259" t="str">
            <v>090-3-09171-1</v>
          </cell>
        </row>
        <row r="260">
          <cell r="B260" t="str">
            <v>น.ส.น้อมจิต เตชะชื่น</v>
          </cell>
          <cell r="C260" t="str">
            <v>น.ส.น้อมจิต เตชะชื่น</v>
          </cell>
          <cell r="D260" t="str">
            <v>Kbank</v>
          </cell>
          <cell r="E260" t="str">
            <v>112-3-52015-3</v>
          </cell>
        </row>
        <row r="261">
          <cell r="B261" t="str">
            <v>น.ส.นัยน์ภัค คุณาวิริยะสิริ</v>
          </cell>
          <cell r="C261" t="str">
            <v>น.ส.นัยน์ภัค คุณาวิริยะสิริ</v>
          </cell>
          <cell r="D261" t="str">
            <v>Kbank</v>
          </cell>
          <cell r="E261" t="str">
            <v>751-2-06870-3</v>
          </cell>
        </row>
        <row r="262">
          <cell r="B262" t="str">
            <v>น.ส.เนืองนิจ  นิธิวัฒน์</v>
          </cell>
          <cell r="C262" t="str">
            <v>น.ส.เนืองนิจ  นิธิวัฒน์</v>
          </cell>
          <cell r="D262" t="str">
            <v>SCB</v>
          </cell>
          <cell r="E262" t="str">
            <v>581-2-11968-9</v>
          </cell>
        </row>
        <row r="263">
          <cell r="B263" t="str">
            <v>น.ส.ปรีชยา จุลเสนีย์ชร</v>
          </cell>
          <cell r="C263" t="str">
            <v>น.ส.ปรีชยา จุลเสนีย์ชร</v>
          </cell>
          <cell r="D263" t="str">
            <v>BBL</v>
          </cell>
          <cell r="E263" t="str">
            <v>291-0-77349-4</v>
          </cell>
        </row>
        <row r="264">
          <cell r="B264" t="str">
            <v>น.ส.ปรีชยา  จุลเสนีย์ชร</v>
          </cell>
          <cell r="C264" t="str">
            <v>น.ส.ปรีชยา  จุลเสนีย์ชร</v>
          </cell>
          <cell r="D264" t="str">
            <v>Kbank</v>
          </cell>
          <cell r="E264" t="str">
            <v>032-1-69396-2</v>
          </cell>
        </row>
        <row r="265">
          <cell r="B265" t="str">
            <v>น.ส.ปิยะธิดา บุสยกุล</v>
          </cell>
          <cell r="C265" t="str">
            <v>น.ส.ปิยะธิดา บุสยกุล</v>
          </cell>
          <cell r="D265" t="str">
            <v>SCB</v>
          </cell>
          <cell r="E265" t="str">
            <v>581-2-44337-1</v>
          </cell>
        </row>
        <row r="266">
          <cell r="B266" t="str">
            <v>น.ส.พรพิมล  อ๋องสุวรรณ</v>
          </cell>
          <cell r="C266" t="str">
            <v>น.ส.พรพิมล  อ๋องสุวรรณ</v>
          </cell>
          <cell r="D266" t="str">
            <v>Kbank</v>
          </cell>
          <cell r="E266" t="str">
            <v>138-8-42844-5</v>
          </cell>
        </row>
        <row r="267">
          <cell r="B267" t="str">
            <v>น.ส.พรพิมล อ๋องสุวรรณ</v>
          </cell>
          <cell r="C267" t="str">
            <v>น.ส.พรพิมล อ๋องสุวรรณ</v>
          </cell>
          <cell r="D267" t="str">
            <v>SCB</v>
          </cell>
          <cell r="E267" t="str">
            <v>581-2-45122-7</v>
          </cell>
        </row>
        <row r="268">
          <cell r="B268" t="str">
            <v>น.ส.ภิรัญญา ธัญญาภิรัต</v>
          </cell>
          <cell r="C268" t="str">
            <v>น.ส.ภิรัญญา ธัญญาภิรัต</v>
          </cell>
          <cell r="D268" t="str">
            <v>Kbank</v>
          </cell>
          <cell r="E268" t="str">
            <v xml:space="preserve">131-3-56602-8 </v>
          </cell>
        </row>
        <row r="269">
          <cell r="B269" t="str">
            <v>น.ส.รังศินี  เสาวเวียง</v>
          </cell>
          <cell r="C269" t="str">
            <v>น.ส.รังศินี  เสาวเวียง</v>
          </cell>
          <cell r="D269" t="str">
            <v>BBL</v>
          </cell>
          <cell r="E269" t="str">
            <v>783-0-03375-4</v>
          </cell>
        </row>
        <row r="270">
          <cell r="B270" t="str">
            <v>น.ส.ละมัย พงศาภิชาติ</v>
          </cell>
          <cell r="C270" t="str">
            <v>น.ส.ละมัย พงศาภิชาติ</v>
          </cell>
          <cell r="D270" t="str">
            <v>BBL</v>
          </cell>
          <cell r="E270" t="str">
            <v>783-0-00934-1</v>
          </cell>
        </row>
        <row r="271">
          <cell r="B271" t="str">
            <v>น.ส.วรรณวิภา เวียนสาว</v>
          </cell>
          <cell r="C271" t="str">
            <v>น.ส.วรรณวิภา เวียนสาว</v>
          </cell>
          <cell r="D271" t="str">
            <v>BBL</v>
          </cell>
          <cell r="E271" t="str">
            <v>527-0-12529-6</v>
          </cell>
        </row>
        <row r="272">
          <cell r="B272" t="str">
            <v>น.ส.วรรณี  สมศรี</v>
          </cell>
          <cell r="C272" t="str">
            <v>น.ส.วรรณี  สมศรี</v>
          </cell>
          <cell r="D272" t="str">
            <v>Kbank</v>
          </cell>
          <cell r="E272" t="str">
            <v>085-2-34557-8</v>
          </cell>
        </row>
        <row r="273">
          <cell r="B273" t="str">
            <v>น.ส.ศุลีพร  คำเครื่อง</v>
          </cell>
          <cell r="C273" t="str">
            <v>น.ส.ศุลีพร  คำเครื่อง</v>
          </cell>
          <cell r="D273" t="str">
            <v>Kbank</v>
          </cell>
          <cell r="E273" t="str">
            <v>086-3-95053-8</v>
          </cell>
        </row>
        <row r="274">
          <cell r="B274" t="str">
            <v>น.ส.อรพิมล​ โชค​พระ​สมบัติ​</v>
          </cell>
          <cell r="C274" t="str">
            <v>น.ส.อรพิมล​ โชค​พระ​สมบัติ​</v>
          </cell>
          <cell r="D274" t="str">
            <v>KTB</v>
          </cell>
          <cell r="E274" t="str">
            <v xml:space="preserve">979-0-15843-2​  </v>
          </cell>
        </row>
        <row r="275">
          <cell r="B275" t="str">
            <v>น.ส.อรอนงค์  อ่อนยิ่ง</v>
          </cell>
          <cell r="C275" t="str">
            <v>น.ส.อรอนงค์  อ่อนยิ่ง</v>
          </cell>
          <cell r="D275" t="str">
            <v>KTB</v>
          </cell>
          <cell r="E275" t="str">
            <v>806-0-45620-2</v>
          </cell>
        </row>
        <row r="276">
          <cell r="B276" t="str">
            <v>นพดลการไฟฟ้า</v>
          </cell>
          <cell r="C276" t="str">
            <v>นายนาวิน  มีนวล</v>
          </cell>
          <cell r="D276" t="str">
            <v>TTB</v>
          </cell>
          <cell r="E276" t="str">
            <v>429-2-24299-9</v>
          </cell>
        </row>
        <row r="277">
          <cell r="B277" t="str">
            <v xml:space="preserve">นพดลการไฟฟ้า </v>
          </cell>
          <cell r="C277" t="str">
            <v>นายนาวิน   มีนวล</v>
          </cell>
          <cell r="D277" t="str">
            <v>SCB</v>
          </cell>
          <cell r="E277" t="str">
            <v>439-0-27274-3</v>
          </cell>
        </row>
        <row r="278">
          <cell r="B278" t="str">
            <v>นวรัตน์การไฟฟ้า</v>
          </cell>
          <cell r="C278" t="str">
            <v>นวรัตน์  ปานจินดา</v>
          </cell>
          <cell r="D278" t="str">
            <v>SCB</v>
          </cell>
          <cell r="E278" t="str">
            <v>468-0-21212-8</v>
          </cell>
        </row>
        <row r="279">
          <cell r="B279" t="str">
            <v>น้องบอส</v>
          </cell>
          <cell r="C279" t="str">
            <v>นายภูดิศ  ทักษิณาวงศ์</v>
          </cell>
          <cell r="D279" t="str">
            <v>Kbank</v>
          </cell>
          <cell r="E279" t="str">
            <v>052-1-91137-9</v>
          </cell>
        </row>
        <row r="280">
          <cell r="B280" t="str">
            <v>น้องบิว(แพ)</v>
          </cell>
          <cell r="C280" t="str">
            <v>น.ส.กัญจนพร  สุขแจ่ม</v>
          </cell>
          <cell r="D280" t="str">
            <v>SCB</v>
          </cell>
          <cell r="E280" t="str">
            <v>407-5-77039-1</v>
          </cell>
        </row>
        <row r="281">
          <cell r="B281" t="str">
            <v>น้องมล</v>
          </cell>
          <cell r="C281" t="str">
            <v>น.ส.นฤมล ลิ่มศิลา</v>
          </cell>
          <cell r="D281" t="str">
            <v>Kbank</v>
          </cell>
          <cell r="E281" t="str">
            <v>758-2-30565-4</v>
          </cell>
        </row>
        <row r="282">
          <cell r="B282" t="str">
            <v>น้องสุ</v>
          </cell>
          <cell r="C282" t="str">
            <v>น.ส.สุภาพร ลิ่มศิลา</v>
          </cell>
          <cell r="D282" t="str">
            <v>Kbank</v>
          </cell>
          <cell r="E282" t="str">
            <v>232-2-42469-0</v>
          </cell>
        </row>
        <row r="283">
          <cell r="B283" t="str">
            <v>น้อยไฟฟ้า</v>
          </cell>
          <cell r="C283" t="str">
            <v>ภิญโญ พลสินธุ์ (น้อยไฟฟ้า)</v>
          </cell>
          <cell r="D283" t="str">
            <v>Kbank</v>
          </cell>
          <cell r="E283" t="str">
            <v>232-2-29117-8</v>
          </cell>
        </row>
        <row r="284">
          <cell r="B284" t="str">
            <v>นางสุดใจ  บุญเฉิด</v>
          </cell>
          <cell r="C284" t="str">
            <v>นางสุดใจ  บุญเฉิด</v>
          </cell>
          <cell r="D284" t="str">
            <v>Kbank</v>
          </cell>
          <cell r="E284" t="str">
            <v>241-2-20876-8</v>
          </cell>
        </row>
        <row r="285">
          <cell r="B285" t="str">
            <v>นางอรพรรณ บุษยากร</v>
          </cell>
          <cell r="C285" t="str">
            <v>นางอรพรรณ บุษยากร</v>
          </cell>
          <cell r="D285" t="str">
            <v xml:space="preserve"> SCB </v>
          </cell>
          <cell r="E285" t="str">
            <v>417-0-41475-1</v>
          </cell>
        </row>
        <row r="286">
          <cell r="B286" t="str">
            <v>น้าโบ๋ย</v>
          </cell>
          <cell r="C286" t="str">
            <v>นางชนิดาภา  ลิ่มศิลา</v>
          </cell>
          <cell r="D286" t="str">
            <v>BBL</v>
          </cell>
          <cell r="E286" t="str">
            <v>527-0-14780-3</v>
          </cell>
        </row>
        <row r="287">
          <cell r="B287" t="str">
            <v>นายกฤตนัย จงไกรจักร(ลูกน้องคุณนายเฟี๊ยต)</v>
          </cell>
          <cell r="C287" t="str">
            <v>นายกฤตนัย จงไกรจักร</v>
          </cell>
          <cell r="D287" t="str">
            <v>KTB</v>
          </cell>
          <cell r="E287" t="str">
            <v>388-0-37251-9</v>
          </cell>
        </row>
        <row r="288">
          <cell r="B288" t="str">
            <v>นายกฤตภาส  ตั้งตระกูล</v>
          </cell>
          <cell r="C288" t="str">
            <v>นายกฤตภาส  ตั้งตระกูล</v>
          </cell>
          <cell r="D288" t="str">
            <v>BBL</v>
          </cell>
          <cell r="E288" t="str">
            <v>527-0-25343-7</v>
          </cell>
        </row>
        <row r="289">
          <cell r="B289" t="str">
            <v>นายกิตติ  เพียรบางยาง</v>
          </cell>
          <cell r="C289" t="str">
            <v>นายกิตติ  เพียรบางยาง</v>
          </cell>
          <cell r="D289" t="str">
            <v>BAY</v>
          </cell>
          <cell r="E289" t="str">
            <v>161-1-42670-2</v>
          </cell>
        </row>
        <row r="290">
          <cell r="B290" t="str">
            <v>นายเกริกกฤต ศรีบุญเรือง</v>
          </cell>
          <cell r="C290" t="str">
            <v>นายเกริกกฤต ศรีบุญเรือง</v>
          </cell>
          <cell r="D290" t="str">
            <v>BAY</v>
          </cell>
          <cell r="E290" t="str">
            <v>161-1-33952-4</v>
          </cell>
        </row>
        <row r="291">
          <cell r="B291" t="str">
            <v>นายจักรกฤษณ์ ฉิ่งสูงเนิน</v>
          </cell>
          <cell r="C291" t="str">
            <v>นายจักรกฤษณ์ ฉิ่งสูงเนิน</v>
          </cell>
          <cell r="D291" t="str">
            <v>SCB</v>
          </cell>
          <cell r="E291" t="str">
            <v>399-4-26202-1</v>
          </cell>
        </row>
        <row r="292">
          <cell r="B292" t="str">
            <v>นายจักรกฤษณ์ อิทธิฤทธานนท์</v>
          </cell>
          <cell r="C292" t="str">
            <v>นายจักรกฤษณ์ อิทธิฤทธานนท์</v>
          </cell>
          <cell r="D292" t="str">
            <v>BBL</v>
          </cell>
          <cell r="E292" t="str">
            <v>291-0-89393-8</v>
          </cell>
        </row>
        <row r="293">
          <cell r="B293" t="str">
            <v>นายเฉลิมวิทย์  แก้วสิมมาพร</v>
          </cell>
          <cell r="C293" t="str">
            <v>นายเฉลิมวิทย์  แก้วสิมมาพร</v>
          </cell>
          <cell r="D293" t="str">
            <v>Kbank</v>
          </cell>
          <cell r="E293" t="str">
            <v>741-2-06194-7</v>
          </cell>
        </row>
        <row r="294">
          <cell r="B294" t="str">
            <v>นายเชาวลิต จินดาเรือง</v>
          </cell>
          <cell r="C294" t="str">
            <v>นายเชาวลิต จินดาเรือง</v>
          </cell>
          <cell r="D294" t="str">
            <v>SCB</v>
          </cell>
          <cell r="E294" t="str">
            <v>415-1-37388-9</v>
          </cell>
        </row>
        <row r="295">
          <cell r="B295" t="str">
            <v>นายเชาวลิต ช่วยนอกสระ</v>
          </cell>
          <cell r="C295" t="str">
            <v>นายเชาวลิต ช่วยนอกสระ</v>
          </cell>
          <cell r="D295" t="str">
            <v>Kbank</v>
          </cell>
          <cell r="E295" t="str">
            <v>016-8-57769-9</v>
          </cell>
        </row>
        <row r="296">
          <cell r="B296" t="str">
            <v>นายณรงค์  ภู่แก้วเผือก</v>
          </cell>
          <cell r="C296" t="str">
            <v>นายณรงค์  ภู่แก้วเผือก</v>
          </cell>
          <cell r="D296" t="str">
            <v>Kbank</v>
          </cell>
          <cell r="E296" t="str">
            <v>038-2-77293-8</v>
          </cell>
        </row>
        <row r="297">
          <cell r="B297" t="str">
            <v>นายณัฏฐ์  จรัสกุล</v>
          </cell>
          <cell r="C297" t="str">
            <v>นายณัฏฐ์  จรัสกุล</v>
          </cell>
          <cell r="D297" t="str">
            <v>TTB</v>
          </cell>
          <cell r="E297" t="str">
            <v>302-2-55760-1</v>
          </cell>
        </row>
        <row r="298">
          <cell r="B298" t="str">
            <v xml:space="preserve">นายณัฏฐ์  จรัสกุล </v>
          </cell>
          <cell r="C298" t="str">
            <v xml:space="preserve">นายณัฏฐ์  จรัสกุล </v>
          </cell>
          <cell r="D298" t="str">
            <v>KTB</v>
          </cell>
          <cell r="E298" t="str">
            <v>806-0-67425-0</v>
          </cell>
        </row>
        <row r="299">
          <cell r="B299" t="str">
            <v>นายณัฐนันท์ ศิริรัตนธัญญะกุล</v>
          </cell>
          <cell r="C299" t="str">
            <v>นายณัฐนันท์ ศิริรัตนธัญญะกุล</v>
          </cell>
          <cell r="D299" t="str">
            <v>KTB</v>
          </cell>
          <cell r="E299" t="str">
            <v>110-1-18747-6</v>
          </cell>
        </row>
        <row r="300">
          <cell r="B300" t="str">
            <v>นายณัฐพงศ์ พิพัฒน์สมบัติ</v>
          </cell>
          <cell r="C300" t="str">
            <v>นายณัฐพงศ์ พิพัฒน์สมบัติ</v>
          </cell>
          <cell r="D300" t="str">
            <v>SCB</v>
          </cell>
          <cell r="E300" t="str">
            <v>408-4-30504-4</v>
          </cell>
        </row>
        <row r="301">
          <cell r="B301" t="str">
            <v>นายณัฐพล  อ๋องสุวรรณ</v>
          </cell>
          <cell r="C301" t="str">
            <v>นายณัฐพล  อ๋องสุวรรณ</v>
          </cell>
          <cell r="D301" t="str">
            <v>KTB</v>
          </cell>
          <cell r="E301" t="str">
            <v>361-0-12106-8</v>
          </cell>
        </row>
        <row r="302">
          <cell r="B302" t="str">
            <v>นายทันชิต  แสงทอง</v>
          </cell>
          <cell r="C302" t="str">
            <v>นายทันชิต  แสงทอง</v>
          </cell>
          <cell r="D302" t="str">
            <v>Kbank</v>
          </cell>
          <cell r="E302" t="str">
            <v>271-2-10897-8</v>
          </cell>
        </row>
        <row r="303">
          <cell r="B303" t="str">
            <v>นายธงชัย และ นายภูมิธัช</v>
          </cell>
          <cell r="C303" t="str">
            <v>นายธงชัย และ นายภูมิธัช</v>
          </cell>
          <cell r="D303" t="str">
            <v>Kbank</v>
          </cell>
          <cell r="E303" t="str">
            <v>197-1-70979-7</v>
          </cell>
        </row>
        <row r="304">
          <cell r="B304" t="str">
            <v>นายธนวัฒน์  ต้นน้ำนิ่ง</v>
          </cell>
          <cell r="C304" t="str">
            <v>นายธนวัฒน์  ต้นน้ำนิ่ง</v>
          </cell>
          <cell r="D304" t="str">
            <v>TTB</v>
          </cell>
          <cell r="E304" t="str">
            <v>587-2-33079-9</v>
          </cell>
        </row>
        <row r="305">
          <cell r="B305" t="str">
            <v>นายธนากร  ฉายประทีป</v>
          </cell>
          <cell r="C305" t="str">
            <v>นายธนากร  ฉายประทีป</v>
          </cell>
          <cell r="D305" t="str">
            <v>SCB</v>
          </cell>
          <cell r="E305" t="str">
            <v>581-2-46170-1</v>
          </cell>
        </row>
        <row r="306">
          <cell r="B306" t="str">
            <v>นายธนากร ฉายประทีป</v>
          </cell>
          <cell r="C306" t="str">
            <v>นายธนากร ฉายประทีป</v>
          </cell>
          <cell r="D306" t="str">
            <v>SCB</v>
          </cell>
          <cell r="E306" t="str">
            <v>581-2-35553-6</v>
          </cell>
        </row>
        <row r="307">
          <cell r="B307" t="str">
            <v xml:space="preserve">นายธนากร  ฉายประทีป </v>
          </cell>
          <cell r="C307" t="str">
            <v xml:space="preserve">นายธนากร  ฉายประทีป </v>
          </cell>
          <cell r="D307" t="str">
            <v>Kbank</v>
          </cell>
          <cell r="E307" t="str">
            <v>190-2-47600-4</v>
          </cell>
        </row>
        <row r="308">
          <cell r="B308" t="str">
            <v>นายธนากร  ทัศน์ธนากร</v>
          </cell>
          <cell r="C308" t="str">
            <v>นายธนากร  ทัศน์ธนากร</v>
          </cell>
          <cell r="D308" t="str">
            <v>KTB</v>
          </cell>
          <cell r="E308" t="str">
            <v>361-1-03152-6</v>
          </cell>
        </row>
        <row r="309">
          <cell r="B309" t="str">
            <v>นายธนู ทักษิณาวงศ์ และนายอดิศักดิ์ รุจิวิวัฒนกุล</v>
          </cell>
          <cell r="C309" t="str">
            <v>นายธนู ทักษิณาวงศ์ และนายอดิศักดิ์ รุจิวิวัฒนกุล</v>
          </cell>
          <cell r="D309" t="str">
            <v>BBL</v>
          </cell>
          <cell r="E309" t="str">
            <v>527-0-24240-6</v>
          </cell>
        </row>
        <row r="310">
          <cell r="B310" t="str">
            <v>ระนองปั้นจั่นเข็มเจาะ</v>
          </cell>
          <cell r="C310" t="str">
            <v>นายธีรนิตย์ แก้วคุณ</v>
          </cell>
          <cell r="D310" t="str">
            <v>GSB</v>
          </cell>
          <cell r="E310" t="str">
            <v>020-4-8449690-4</v>
          </cell>
        </row>
        <row r="311">
          <cell r="B311" t="str">
            <v xml:space="preserve">นายนพพร เทพธรณี </v>
          </cell>
          <cell r="C311" t="str">
            <v xml:space="preserve">นายนพพร เทพธรณี </v>
          </cell>
          <cell r="D311" t="str">
            <v>TTB</v>
          </cell>
          <cell r="E311" t="str">
            <v>019-9-00726-1</v>
          </cell>
        </row>
        <row r="312">
          <cell r="B312" t="str">
            <v>นายนเรศ  ผุยอุทา</v>
          </cell>
          <cell r="C312" t="str">
            <v>นายนเรศ  ผุยอุทา</v>
          </cell>
          <cell r="D312" t="str">
            <v>GSB</v>
          </cell>
          <cell r="E312" t="str">
            <v>020-3-0777958-5</v>
          </cell>
        </row>
        <row r="313">
          <cell r="B313" t="str">
            <v>นายนิติพงศ์  มูสิมูล</v>
          </cell>
          <cell r="C313" t="str">
            <v>นายนิติพงศ์  มูสิมูล</v>
          </cell>
          <cell r="D313" t="str">
            <v>SCB</v>
          </cell>
          <cell r="E313" t="str">
            <v>4242-10427-4</v>
          </cell>
        </row>
        <row r="314">
          <cell r="B314" t="str">
            <v>นายนิติพัฒน์  พานิชสุโข</v>
          </cell>
          <cell r="C314" t="str">
            <v>นายนิติพัฒน์  พานิชสุโข</v>
          </cell>
          <cell r="D314" t="str">
            <v>Kbank</v>
          </cell>
          <cell r="E314" t="str">
            <v>460-2-06925-2</v>
          </cell>
        </row>
        <row r="315">
          <cell r="B315" t="str">
            <v>นายนิธิศ  อ่อนเกตุพล</v>
          </cell>
          <cell r="C315" t="str">
            <v>นายนิธิศ  อ่อนเกตุพล</v>
          </cell>
          <cell r="D315" t="str">
            <v>SCB</v>
          </cell>
          <cell r="E315" t="str">
            <v>401-158426-1</v>
          </cell>
        </row>
        <row r="316">
          <cell r="B316" t="str">
            <v>นายบุญเรือง  อุทัยรัตน์</v>
          </cell>
          <cell r="C316" t="str">
            <v>นายบุญเรือง  อุทัยรัตน์</v>
          </cell>
          <cell r="D316" t="str">
            <v>Kbank</v>
          </cell>
          <cell r="E316" t="str">
            <v>107-3-74589-2</v>
          </cell>
        </row>
        <row r="317">
          <cell r="B317" t="str">
            <v>นายพงปกรณ์  ตั้งอรุณสันติ</v>
          </cell>
          <cell r="C317" t="str">
            <v>นายพงปกรณ์  ตั้งอรุณสันติ</v>
          </cell>
          <cell r="D317" t="str">
            <v>SCB</v>
          </cell>
          <cell r="E317" t="str">
            <v>407-5-55218-3</v>
          </cell>
        </row>
        <row r="318">
          <cell r="B318" t="str">
            <v>นายประพร  นันทะวิริยะนนท์</v>
          </cell>
          <cell r="C318" t="str">
            <v>นายประพร  นันทะวิริยะนนท์</v>
          </cell>
          <cell r="D318" t="str">
            <v>SCB</v>
          </cell>
          <cell r="E318" t="str">
            <v>412-0-66748-5</v>
          </cell>
        </row>
        <row r="319">
          <cell r="B319" t="str">
            <v>นายพงษ์พิพัฒน์ ต้นน้ำนิ่ง</v>
          </cell>
          <cell r="C319" t="str">
            <v>นายพงษ์พิพัฒน์ ต้นน้ำนิ่ง</v>
          </cell>
          <cell r="D319" t="str">
            <v>SCB</v>
          </cell>
          <cell r="E319" t="str">
            <v>405-1-42770-4</v>
          </cell>
        </row>
        <row r="320">
          <cell r="B320" t="str">
            <v>นายพนมศักดิ์  นาครักสุทธิ์</v>
          </cell>
          <cell r="C320" t="str">
            <v>นายพนมศักดิ์  นาครักสุทธิ์</v>
          </cell>
          <cell r="D320" t="str">
            <v>TTB</v>
          </cell>
          <cell r="E320" t="str">
            <v>837-2-02100-9</v>
          </cell>
        </row>
        <row r="321">
          <cell r="B321" t="str">
            <v>นายพฤฒ  เพราพันธ์</v>
          </cell>
          <cell r="C321" t="str">
            <v>นายพฤฒ  เพราพันธ์</v>
          </cell>
          <cell r="D321" t="str">
            <v>SCB</v>
          </cell>
          <cell r="E321" t="str">
            <v>438-1-07623-1</v>
          </cell>
        </row>
        <row r="322">
          <cell r="B322" t="str">
            <v>นายพิทักษ์  ศิลปะมาต</v>
          </cell>
          <cell r="C322" t="str">
            <v>นายพิทักษ์  ศิลปะมาต</v>
          </cell>
          <cell r="D322" t="str">
            <v>TTB</v>
          </cell>
          <cell r="E322" t="str">
            <v>082-2-85350-3</v>
          </cell>
        </row>
        <row r="323">
          <cell r="B323" t="str">
            <v>นายมนตรี เต็มไพโรจน์</v>
          </cell>
          <cell r="C323" t="str">
            <v>นายมนตรี เต็มไพโรจน์</v>
          </cell>
          <cell r="D323" t="str">
            <v>GSB</v>
          </cell>
          <cell r="E323" t="str">
            <v>020-4-1049015-3</v>
          </cell>
        </row>
        <row r="324">
          <cell r="B324" t="str">
            <v>นายเมธา  วงษ์นิติรัตน์</v>
          </cell>
          <cell r="C324" t="str">
            <v>นายเมธา  วงษ์นิติรัตน์</v>
          </cell>
          <cell r="D324" t="str">
            <v>KTB</v>
          </cell>
          <cell r="E324" t="str">
            <v>982-3-59172-5</v>
          </cell>
        </row>
        <row r="325">
          <cell r="B325" t="str">
            <v>นายรุ่งทิวา สำราญรมย์</v>
          </cell>
          <cell r="C325" t="str">
            <v>นายรุ่งทิวา สำราญรมย์</v>
          </cell>
          <cell r="D325" t="str">
            <v>KTB</v>
          </cell>
          <cell r="E325" t="str">
            <v>806-0-30684-7</v>
          </cell>
        </row>
        <row r="326">
          <cell r="B326" t="str">
            <v>นายเรวัตร  หินกอง</v>
          </cell>
          <cell r="C326" t="str">
            <v>นายเรวัตร  หินกอง</v>
          </cell>
          <cell r="D326" t="str">
            <v>Kbank</v>
          </cell>
          <cell r="E326" t="str">
            <v>024-2-95030-5</v>
          </cell>
        </row>
        <row r="327">
          <cell r="B327" t="str">
            <v>นายวทัญญู  กลับกลาย</v>
          </cell>
          <cell r="C327" t="str">
            <v>นายวทัญญู  กลับกลาย</v>
          </cell>
          <cell r="D327" t="str">
            <v>Kbank</v>
          </cell>
          <cell r="E327" t="str">
            <v>460-2-05343-7</v>
          </cell>
        </row>
        <row r="328">
          <cell r="B328" t="str">
            <v>นายวิศิษย์ศักดิ์ ปล้องเจริญ</v>
          </cell>
          <cell r="C328" t="str">
            <v>นายวิศิษย์ศักดิ์ ปล้องเจริญ</v>
          </cell>
          <cell r="D328" t="str">
            <v>BAY</v>
          </cell>
          <cell r="E328" t="str">
            <v>540-1-59679-8</v>
          </cell>
        </row>
        <row r="329">
          <cell r="B329" t="str">
            <v>นายวุฒิชัย  หอมทอง</v>
          </cell>
          <cell r="C329" t="str">
            <v>นายวุฒิชัย  หอมทอง</v>
          </cell>
          <cell r="D329" t="str">
            <v>BBL</v>
          </cell>
          <cell r="E329" t="str">
            <v>133-4-75786-9</v>
          </cell>
        </row>
        <row r="330">
          <cell r="B330" t="str">
            <v>นายวุฒิชัย หอมทอง</v>
          </cell>
          <cell r="C330" t="str">
            <v>นายวุฒิชัย หอมทอง</v>
          </cell>
          <cell r="D330" t="str">
            <v>KTB</v>
          </cell>
          <cell r="E330" t="str">
            <v>980-9-80142-4</v>
          </cell>
        </row>
        <row r="331">
          <cell r="B331" t="str">
            <v>นายศรชัย คชสิงห์</v>
          </cell>
          <cell r="C331" t="str">
            <v>นายศรชัย คชสิงห์</v>
          </cell>
          <cell r="D331" t="str">
            <v>KTB</v>
          </cell>
          <cell r="E331" t="str">
            <v>806-0-35372-1</v>
          </cell>
        </row>
        <row r="332">
          <cell r="B332" t="str">
            <v>นายศุภชัย  รอดรักษา</v>
          </cell>
          <cell r="C332" t="str">
            <v>นายศุภชัย  รอดรักษา</v>
          </cell>
          <cell r="D332" t="str">
            <v>P-Pay</v>
          </cell>
          <cell r="E332" t="str">
            <v>096-6-34950-9</v>
          </cell>
        </row>
        <row r="333">
          <cell r="B333" t="str">
            <v>นายสถาพร  เครือวัลย์</v>
          </cell>
          <cell r="C333" t="str">
            <v>นายสถาพร  เครือวัลย์</v>
          </cell>
          <cell r="D333" t="str">
            <v>Kbank</v>
          </cell>
          <cell r="E333" t="str">
            <v>274-2-26864-3</v>
          </cell>
        </row>
        <row r="334">
          <cell r="B334" t="str">
            <v>นายสถาพร เครือวัลย์</v>
          </cell>
          <cell r="C334" t="str">
            <v>นายสถาพร เครือวัลย์</v>
          </cell>
          <cell r="D334" t="str">
            <v>BBL</v>
          </cell>
          <cell r="E334" t="str">
            <v>282-0-32639-1</v>
          </cell>
        </row>
        <row r="335">
          <cell r="B335" t="str">
            <v>นายสมเกียรติ อมรวัฒน์</v>
          </cell>
          <cell r="C335" t="str">
            <v>นายสมเกียรติ อมรวัฒน์</v>
          </cell>
          <cell r="D335" t="str">
            <v>BBL</v>
          </cell>
          <cell r="E335" t="str">
            <v>198-0-80670-5</v>
          </cell>
        </row>
        <row r="336">
          <cell r="B336" t="str">
            <v>นายสมบูรณ์ พงษ์ขยัน</v>
          </cell>
          <cell r="C336" t="str">
            <v>นายสมบูรณ์ พงษ์ขยัน</v>
          </cell>
          <cell r="D336" t="str">
            <v>Kbank</v>
          </cell>
          <cell r="E336" t="str">
            <v>165-1-19403-9</v>
          </cell>
        </row>
        <row r="337">
          <cell r="B337" t="str">
            <v>นายสมยศ  จงเจริญ</v>
          </cell>
          <cell r="C337" t="str">
            <v>นายสมยศ  จงเจริญ</v>
          </cell>
          <cell r="D337" t="str">
            <v>Kbank</v>
          </cell>
          <cell r="E337" t="str">
            <v>232-2-24488-9</v>
          </cell>
        </row>
        <row r="338">
          <cell r="B338" t="str">
            <v>นายสาโรจน์  เศวตดุล</v>
          </cell>
          <cell r="C338" t="str">
            <v>นายสาโรจน์  เศวตดุล</v>
          </cell>
          <cell r="D338" t="str">
            <v>BBL</v>
          </cell>
          <cell r="E338" t="str">
            <v>291-0-82954-4</v>
          </cell>
        </row>
        <row r="339">
          <cell r="B339" t="str">
            <v>นายสำราญ  อำดี</v>
          </cell>
          <cell r="C339" t="str">
            <v>นายสำราญ  อำดี</v>
          </cell>
          <cell r="D339" t="str">
            <v>BAY</v>
          </cell>
          <cell r="E339" t="str">
            <v>161-1-411993-8</v>
          </cell>
        </row>
        <row r="340">
          <cell r="B340" t="str">
            <v>นายสุชัย  หลีระพันธุ์</v>
          </cell>
          <cell r="C340" t="str">
            <v>นายสุชัย  หลีระพันธุ์</v>
          </cell>
          <cell r="D340" t="str">
            <v>Kbank</v>
          </cell>
          <cell r="E340" t="str">
            <v>343-2-67153-3</v>
          </cell>
        </row>
        <row r="341">
          <cell r="B341" t="str">
            <v>นายสุชีพ พัฒน์ทอง</v>
          </cell>
          <cell r="C341" t="str">
            <v>นายสุชีพ พัฒน์ทอง</v>
          </cell>
          <cell r="D341" t="str">
            <v>KTB</v>
          </cell>
          <cell r="E341" t="str">
            <v>806-1-53893-8</v>
          </cell>
        </row>
        <row r="342">
          <cell r="B342" t="str">
            <v>นายสุเมท สุขสะอาด</v>
          </cell>
          <cell r="C342" t="str">
            <v>นายสุเมท สุขสะอาด</v>
          </cell>
          <cell r="D342" t="str">
            <v>KTB</v>
          </cell>
          <cell r="E342" t="str">
            <v>001-0-32817-3</v>
          </cell>
        </row>
        <row r="343">
          <cell r="B343" t="str">
            <v>นายสุธรรม  เล่นทัศน์</v>
          </cell>
          <cell r="C343" t="str">
            <v>นายสุธรรม  เล่นทัศน์</v>
          </cell>
          <cell r="D343" t="str">
            <v>Kbank</v>
          </cell>
          <cell r="E343" t="str">
            <v>113-2-69037-1</v>
          </cell>
        </row>
        <row r="344">
          <cell r="B344" t="str">
            <v>นายสุรชัย ทำทอง</v>
          </cell>
          <cell r="C344" t="str">
            <v>นายสุรชัย ทำทอง</v>
          </cell>
          <cell r="D344" t="str">
            <v>KTB</v>
          </cell>
          <cell r="E344" t="str">
            <v>806-0-04736-1</v>
          </cell>
        </row>
        <row r="345">
          <cell r="B345" t="str">
            <v>นายโสภณ  นาเพียงล้อม</v>
          </cell>
          <cell r="C345" t="str">
            <v>นายโสภณ  นาเพียงล้อม</v>
          </cell>
          <cell r="D345" t="str">
            <v>กรุงศรี</v>
          </cell>
          <cell r="E345" t="str">
            <v>056-1-68591-8</v>
          </cell>
        </row>
        <row r="346">
          <cell r="B346" t="str">
            <v>นายอดิศร  โมฬี</v>
          </cell>
          <cell r="C346" t="str">
            <v>นายอดิศร  โมฬี</v>
          </cell>
          <cell r="D346" t="str">
            <v>P-Pay</v>
          </cell>
          <cell r="E346" t="str">
            <v>084-441-5396</v>
          </cell>
        </row>
        <row r="347">
          <cell r="B347" t="str">
            <v>นายอภิวิชญ์  ธาตุชล</v>
          </cell>
          <cell r="C347" t="str">
            <v>นายอภิวิชญ์  ธาตุชล</v>
          </cell>
          <cell r="D347" t="str">
            <v>Kbank</v>
          </cell>
          <cell r="E347" t="str">
            <v>460-2-02390-2</v>
          </cell>
        </row>
        <row r="348">
          <cell r="B348" t="str">
            <v>น้าละมัย</v>
          </cell>
          <cell r="C348" t="str">
            <v>น.ส.ละมัย  พงศาภิชาติ</v>
          </cell>
          <cell r="D348" t="str">
            <v>BBL</v>
          </cell>
          <cell r="E348" t="str">
            <v>783-0-00934-1</v>
          </cell>
        </row>
        <row r="349">
          <cell r="B349" t="str">
            <v>นำผลโลหะภัณฑ์</v>
          </cell>
          <cell r="C349" t="str">
            <v>นายดำรง และนางสุวิมล ลิ้มสถารัตน์</v>
          </cell>
          <cell r="D349" t="str">
            <v>Kbank</v>
          </cell>
          <cell r="E349" t="str">
            <v>232-1-04045-7</v>
          </cell>
        </row>
        <row r="350">
          <cell r="B350" t="str">
            <v xml:space="preserve">นำผลโลหะภัณฑ์ </v>
          </cell>
          <cell r="C350" t="str">
            <v>นำผลโลหะภัณฑ์ โดย นายพิชัย ลิ้มสถารัตน์</v>
          </cell>
          <cell r="D350" t="str">
            <v>Kbank</v>
          </cell>
          <cell r="E350" t="str">
            <v>198-8-37685-6</v>
          </cell>
        </row>
        <row r="351">
          <cell r="B351" t="str">
            <v>นิติบุคคลหมู่บ้านอิสระพระราม9</v>
          </cell>
          <cell r="C351" t="str">
            <v>นิติบุคคลหมู่บ้านอิสระพระราม9</v>
          </cell>
          <cell r="D351" t="str">
            <v>TTB</v>
          </cell>
          <cell r="E351" t="str">
            <v>196-2-47922-4</v>
          </cell>
        </row>
        <row r="352">
          <cell r="B352" t="str">
            <v>นิติบุคคลอาคารชุด ดิ อินฟินิตี้</v>
          </cell>
          <cell r="C352" t="str">
            <v>นิติบุคคลอาคารชุด ดิ อินฟินิตี้</v>
          </cell>
          <cell r="D352" t="str">
            <v>Kbank</v>
          </cell>
          <cell r="E352" t="str">
            <v>608-2-02402-4</v>
          </cell>
        </row>
        <row r="353">
          <cell r="B353" t="str">
            <v>นิ่ม BBL</v>
          </cell>
          <cell r="C353" t="str">
            <v>นางนิ่มอนงค์ คงพล</v>
          </cell>
          <cell r="D353" t="str">
            <v>BBL</v>
          </cell>
          <cell r="E353" t="str">
            <v>232-4-86088-7</v>
          </cell>
        </row>
        <row r="354">
          <cell r="B354" t="str">
            <v>นิ่ม GSB</v>
          </cell>
          <cell r="C354" t="str">
            <v xml:space="preserve">นางนิ่มอนงค์ คงพล </v>
          </cell>
          <cell r="D354" t="str">
            <v>GSB</v>
          </cell>
          <cell r="E354" t="str">
            <v>050-5-236603-01</v>
          </cell>
        </row>
        <row r="355">
          <cell r="B355" t="str">
            <v>บจ.กมลจักรวาล2003</v>
          </cell>
          <cell r="C355" t="str">
            <v>คุณอรพินท์  กีรติกมล</v>
          </cell>
          <cell r="D355" t="str">
            <v>BBL</v>
          </cell>
          <cell r="E355" t="str">
            <v>101-3-20477-9</v>
          </cell>
        </row>
        <row r="356">
          <cell r="B356" t="str">
            <v>บจ.กระทุ่มแบน มอเตอร์</v>
          </cell>
          <cell r="C356" t="str">
            <v>บจ.กระทุ่มแบน มอเตอร์</v>
          </cell>
          <cell r="D356" t="str">
            <v>BBL</v>
          </cell>
          <cell r="E356" t="str">
            <v>204-4-23450-4</v>
          </cell>
        </row>
        <row r="357">
          <cell r="B357" t="str">
            <v>บจ.กาญจน์ญาภา บริการ</v>
          </cell>
          <cell r="C357" t="str">
            <v>บจ.กาญจน์ญาภา บริการ</v>
          </cell>
          <cell r="D357" t="str">
            <v>SCB</v>
          </cell>
          <cell r="E357" t="str">
            <v>581-2-44032-3</v>
          </cell>
        </row>
        <row r="358">
          <cell r="B358" t="str">
            <v>บจ.การไฟฟ้าเต็กซุ่นเส็ง</v>
          </cell>
          <cell r="C358" t="str">
            <v>คุณประสิทธิ์  อัสสพันธุ์</v>
          </cell>
          <cell r="D358" t="str">
            <v>BBL</v>
          </cell>
          <cell r="E358" t="str">
            <v>001-4-18527-6</v>
          </cell>
        </row>
        <row r="359">
          <cell r="B359" t="str">
            <v>บจ.กิจไพศาล คอนกรีต</v>
          </cell>
          <cell r="C359" t="str">
            <v>บจ.กิจไพศาล คอนกรีต</v>
          </cell>
          <cell r="D359" t="str">
            <v>TTB</v>
          </cell>
          <cell r="E359" t="str">
            <v>429-1-08450-9</v>
          </cell>
        </row>
        <row r="360">
          <cell r="B360" t="str">
            <v>บจ.กิจไพศาลคอนกรีต</v>
          </cell>
          <cell r="C360" t="str">
            <v>บจ.กิจไพศาลคอนกรีต</v>
          </cell>
          <cell r="D360" t="str">
            <v>TTB</v>
          </cell>
          <cell r="E360" t="str">
            <v>429-2-46045-0</v>
          </cell>
        </row>
        <row r="361">
          <cell r="B361" t="str">
            <v>บจ.กิจไพศาลคอนสตรัคชั่นแมททีเรียล</v>
          </cell>
          <cell r="C361" t="str">
            <v>บจ.กิจไพศาลคอนสตรัคชั่นแมททีเรียล</v>
          </cell>
          <cell r="D361" t="str">
            <v>BBL</v>
          </cell>
          <cell r="E361" t="str">
            <v>527-0-23303-3</v>
          </cell>
        </row>
        <row r="362">
          <cell r="B362" t="str">
            <v>บจ.กิจไพศาลวัสดุ</v>
          </cell>
          <cell r="C362" t="str">
            <v>บจ.กิจไพศาลวัสดุ</v>
          </cell>
          <cell r="D362" t="str">
            <v>Kbank</v>
          </cell>
          <cell r="E362" t="str">
            <v>163-1-29532-7</v>
          </cell>
        </row>
        <row r="363">
          <cell r="B363" t="str">
            <v>บจ.กิจไพศาลสตีล</v>
          </cell>
          <cell r="C363" t="str">
            <v>บจ.กิจไพศาลสตีล</v>
          </cell>
          <cell r="D363" t="str">
            <v>Kbank</v>
          </cell>
          <cell r="E363" t="str">
            <v>127-8-40062-6</v>
          </cell>
        </row>
        <row r="364">
          <cell r="B364" t="str">
            <v>บจ.เกรียงกมล2009</v>
          </cell>
          <cell r="C364" t="str">
            <v>บจ.เกรียงกมล2009</v>
          </cell>
          <cell r="D364" t="str">
            <v>Kbank</v>
          </cell>
          <cell r="E364" t="str">
            <v>043-1-09652-8</v>
          </cell>
        </row>
        <row r="365">
          <cell r="B365" t="str">
            <v>บจ.แกรนเมโทรฮาร์ดแวร์</v>
          </cell>
          <cell r="C365" t="str">
            <v>คุณมนตรี  กาญจนฉัตร</v>
          </cell>
          <cell r="D365" t="str">
            <v>Kbank</v>
          </cell>
          <cell r="E365" t="str">
            <v>232-2-14204-0</v>
          </cell>
        </row>
        <row r="366">
          <cell r="B366" t="str">
            <v>บจ.คอนกรีตซีแพค ระนอง</v>
          </cell>
          <cell r="C366" t="str">
            <v>บจ.คอนกรีตซีแพค ระนอง</v>
          </cell>
          <cell r="D366" t="str">
            <v>TTB</v>
          </cell>
          <cell r="E366" t="str">
            <v>429-2-26056-1</v>
          </cell>
        </row>
        <row r="367">
          <cell r="B367" t="str">
            <v>บจ.เค.ที.แม็กซ์</v>
          </cell>
          <cell r="C367" t="str">
            <v>บจ.เค.ที.แม็กซ์</v>
          </cell>
          <cell r="D367" t="str">
            <v>Kbank</v>
          </cell>
          <cell r="E367" t="str">
            <v>043-1-09722-2</v>
          </cell>
        </row>
        <row r="368">
          <cell r="B368" t="str">
            <v>บจ.เค.เอส.พี อุปกรณ์</v>
          </cell>
          <cell r="C368" t="str">
            <v>บจ.เค.เอส.พี อุปกรณ์</v>
          </cell>
          <cell r="D368" t="str">
            <v>BBL</v>
          </cell>
          <cell r="E368" t="str">
            <v>101-3-27429-3</v>
          </cell>
        </row>
        <row r="369">
          <cell r="B369" t="str">
            <v>บจ.เค่งน่ำฮวด</v>
          </cell>
          <cell r="C369" t="str">
            <v>บจ.เค่งน่ำฮวด</v>
          </cell>
          <cell r="D369" t="str">
            <v>Kbank</v>
          </cell>
          <cell r="E369" t="str">
            <v>719-1-02078-7</v>
          </cell>
        </row>
        <row r="370">
          <cell r="B370" t="str">
            <v>บจ.เค้งหงส์ทอง</v>
          </cell>
          <cell r="C370" t="str">
            <v>บจ.เค้งหงส์ทอง</v>
          </cell>
          <cell r="D370" t="str">
            <v>Kbank</v>
          </cell>
          <cell r="E370" t="str">
            <v>019-1-04333-2</v>
          </cell>
        </row>
        <row r="371">
          <cell r="B371" t="str">
            <v>บจ.เคดี แมชชีนเนอรี่</v>
          </cell>
          <cell r="C371" t="str">
            <v>บจ.เคดี แมชชีนเนอรี่</v>
          </cell>
          <cell r="D371" t="str">
            <v>Kbank</v>
          </cell>
          <cell r="E371" t="str">
            <v>756-1-01320-3</v>
          </cell>
        </row>
        <row r="372">
          <cell r="B372" t="str">
            <v>บจ.เคพีเอส ระนอง เครน</v>
          </cell>
          <cell r="C372" t="str">
            <v>นายพัชระ รุจิวิวัฒนกุล</v>
          </cell>
          <cell r="D372" t="str">
            <v>TTB</v>
          </cell>
          <cell r="E372" t="str">
            <v>429-2-36911-5</v>
          </cell>
        </row>
        <row r="373">
          <cell r="B373" t="str">
            <v>บจ.เคพีเอสระนองเครน</v>
          </cell>
          <cell r="C373" t="str">
            <v>บจ.เคพีเอสระนองเครน</v>
          </cell>
          <cell r="D373" t="str">
            <v>Kbank</v>
          </cell>
          <cell r="E373" t="str">
            <v>165-1-79256-4</v>
          </cell>
        </row>
        <row r="374">
          <cell r="B374" t="str">
            <v>บจ.เคเอสวอเตอร์คูลลิ่ง</v>
          </cell>
          <cell r="C374" t="str">
            <v>บจ.เคเอสวอเตอร์คูลลิ่ง</v>
          </cell>
          <cell r="D374" t="str">
            <v>KTB</v>
          </cell>
          <cell r="E374" t="str">
            <v>110-0-23536-1</v>
          </cell>
        </row>
        <row r="375">
          <cell r="B375" t="str">
            <v>บจ.โคโรเนท โบรกเกอร์</v>
          </cell>
          <cell r="C375" t="str">
            <v>บจ.โคโรเนท โบรกเกอร์</v>
          </cell>
          <cell r="D375" t="str">
            <v>QRCode</v>
          </cell>
          <cell r="E375" t="str">
            <v>QRCode</v>
          </cell>
        </row>
        <row r="376">
          <cell r="B376" t="str">
            <v>บจ.จตุรเจริญชัย</v>
          </cell>
          <cell r="C376" t="str">
            <v>ดร.วินัย รุ่งฤทธิเดช</v>
          </cell>
          <cell r="D376" t="str">
            <v>BBL</v>
          </cell>
          <cell r="E376" t="str">
            <v>567-3-00572-3</v>
          </cell>
        </row>
        <row r="377">
          <cell r="B377" t="str">
            <v xml:space="preserve">บจ.จตุรเจริญชัย </v>
          </cell>
          <cell r="C377" t="str">
            <v>บจ.จตุรเจริญชัย</v>
          </cell>
          <cell r="D377" t="str">
            <v>TTB</v>
          </cell>
          <cell r="E377" t="str">
            <v>311-1-01963-8</v>
          </cell>
        </row>
        <row r="378">
          <cell r="B378" t="str">
            <v>บจ.จรมิตร</v>
          </cell>
          <cell r="C378" t="str">
            <v>น.ส.กิติมา สุวรรณไพบูลย์</v>
          </cell>
          <cell r="D378" t="str">
            <v>Kbank</v>
          </cell>
          <cell r="E378" t="str">
            <v>025-2-30904-7</v>
          </cell>
        </row>
        <row r="379">
          <cell r="B379" t="str">
            <v>บจ.จีเอสเอ็ม มารีน</v>
          </cell>
          <cell r="C379" t="str">
            <v>คุณเจตน์จิณณ์ เชาวน์สุขุม</v>
          </cell>
          <cell r="D379" t="str">
            <v>Kbank</v>
          </cell>
          <cell r="E379" t="str">
            <v>704-2-37297-2</v>
          </cell>
        </row>
        <row r="380">
          <cell r="B380" t="str">
            <v>บจ.จีเอสเอ็ม มารีนซัพพลาย</v>
          </cell>
          <cell r="C380" t="str">
            <v>บจ.จีเอสเอ็มมารีนซัพพลาย</v>
          </cell>
          <cell r="D380" t="str">
            <v>Kbank</v>
          </cell>
          <cell r="E380" t="str">
            <v>080-2-93204-9</v>
          </cell>
        </row>
        <row r="381">
          <cell r="B381" t="str">
            <v>บจ.จีเอสเอ็มมารีนซัพพลาย</v>
          </cell>
          <cell r="C381" t="str">
            <v>คุณเจตน์จิณณ์  เชาวน์สุขุม</v>
          </cell>
          <cell r="D381" t="str">
            <v>Kbank</v>
          </cell>
          <cell r="E381" t="str">
            <v>232-2-07429-0</v>
          </cell>
        </row>
        <row r="382">
          <cell r="B382" t="str">
            <v>บจ.เจซีเอส แมคคานิค</v>
          </cell>
          <cell r="C382" t="str">
            <v>น.ส.พรประพันธิ์ ศรีโยธา</v>
          </cell>
          <cell r="D382" t="str">
            <v>SCB</v>
          </cell>
          <cell r="E382" t="str">
            <v>438-0-58215-8</v>
          </cell>
        </row>
        <row r="383">
          <cell r="B383" t="str">
            <v>บจ.เจริญมารีน</v>
          </cell>
          <cell r="C383" t="str">
            <v>บจ.เจริญมารีน</v>
          </cell>
          <cell r="D383" t="str">
            <v>BBL</v>
          </cell>
          <cell r="E383" t="str">
            <v>130-3-13053-6</v>
          </cell>
        </row>
        <row r="384">
          <cell r="B384" t="str">
            <v>บจ.เจริญยนต์ไทยพัฒนา</v>
          </cell>
          <cell r="C384" t="str">
            <v xml:space="preserve">บจ.เจริญยนต์ไทยพัฒนา </v>
          </cell>
          <cell r="D384" t="str">
            <v>Kbank</v>
          </cell>
          <cell r="E384" t="str">
            <v>005-1-09131-0</v>
          </cell>
        </row>
        <row r="385">
          <cell r="B385" t="str">
            <v xml:space="preserve">บจ.เจริญยนต์ไทยพัฒนา  </v>
          </cell>
          <cell r="C385" t="str">
            <v>วิชาดา เพิ่มพันธุ์วรวัฒน์</v>
          </cell>
          <cell r="D385" t="str">
            <v>TTB</v>
          </cell>
          <cell r="E385" t="str">
            <v>919-2-32631-3</v>
          </cell>
        </row>
        <row r="386">
          <cell r="B386" t="str">
            <v>บจ.เชือกและอวนสยาม</v>
          </cell>
          <cell r="C386" t="str">
            <v>บจ.เชือกและอวนสยาม</v>
          </cell>
          <cell r="D386" t="str">
            <v>BBL</v>
          </cell>
          <cell r="E386" t="str">
            <v>101-3-24269-6</v>
          </cell>
        </row>
        <row r="387">
          <cell r="B387" t="str">
            <v>บจ.โชคชัย พาวเวอร์ แพค 2025</v>
          </cell>
          <cell r="C387" t="str">
            <v>บจ.โชคชัย พาวเวอร์ แพค2025</v>
          </cell>
          <cell r="D387" t="str">
            <v>Kbank</v>
          </cell>
          <cell r="E387" t="str">
            <v>219-8-70005-6</v>
          </cell>
        </row>
        <row r="388">
          <cell r="B388" t="str">
            <v>บจ.ซันนี่เวล ระนอง</v>
          </cell>
          <cell r="C388" t="str">
            <v>บจ.ซันนี่เวล ระนอง</v>
          </cell>
          <cell r="D388" t="str">
            <v>BBL</v>
          </cell>
          <cell r="E388" t="str">
            <v>527-0-23131-8</v>
          </cell>
        </row>
        <row r="389">
          <cell r="B389" t="str">
            <v>บจ.ซี.เอส.เอส.ซี(ประเทศไทย)</v>
          </cell>
          <cell r="C389" t="str">
            <v>บจ.ซี.เอส.เอส.ซี(ประเทศไทย)</v>
          </cell>
          <cell r="D389" t="str">
            <v>BBL</v>
          </cell>
          <cell r="E389" t="str">
            <v>130-7-12898-1</v>
          </cell>
        </row>
        <row r="390">
          <cell r="B390" t="str">
            <v>บจ.ดีเจนเอนจิเนียริ่ง</v>
          </cell>
          <cell r="C390" t="str">
            <v>บจ.ดีเจนเอนจิเนียริ่ง</v>
          </cell>
          <cell r="D390" t="str">
            <v>BBL</v>
          </cell>
          <cell r="E390" t="str">
            <v>499-3-01173-5</v>
          </cell>
        </row>
        <row r="391">
          <cell r="B391" t="str">
            <v>บจ.แดดเสรี</v>
          </cell>
          <cell r="C391" t="str">
            <v>บจ.แดดเสรี</v>
          </cell>
          <cell r="D391" t="str">
            <v>Kbank</v>
          </cell>
          <cell r="E391" t="str">
            <v>140-1-36153-3</v>
          </cell>
        </row>
        <row r="392">
          <cell r="B392" t="str">
            <v>บจ.แดน เครนเซอร์วิส</v>
          </cell>
          <cell r="C392" t="str">
            <v>บจ.แดน เครนเซอร์วิส</v>
          </cell>
          <cell r="D392" t="str">
            <v>Kbank</v>
          </cell>
          <cell r="E392" t="str">
            <v>689-2-21651-5</v>
          </cell>
        </row>
        <row r="393">
          <cell r="B393" t="str">
            <v>บจ.ถ่ามหังกี่ เอ็นจิเนียริ่ง</v>
          </cell>
          <cell r="C393" t="str">
            <v>บจ.ถ่ามหังกี่ เอ็นจิเนียริ่ง</v>
          </cell>
          <cell r="D393" t="str">
            <v>BBL</v>
          </cell>
          <cell r="E393" t="str">
            <v>228-4-43126-5</v>
          </cell>
        </row>
        <row r="394">
          <cell r="B394" t="str">
            <v>บจ.ไถ่เชียงระนอง</v>
          </cell>
          <cell r="C394" t="str">
            <v>บจ.ไถ่เชียงระนอง</v>
          </cell>
          <cell r="D394" t="str">
            <v>Kbank</v>
          </cell>
          <cell r="E394" t="str">
            <v>042-8-46969-0</v>
          </cell>
        </row>
        <row r="395">
          <cell r="B395" t="str">
            <v>บจ.ทรัพย์พุฒิเมธ</v>
          </cell>
          <cell r="C395" t="str">
            <v>บจ.ทรัพย์พุฒิเมธ</v>
          </cell>
          <cell r="D395" t="str">
            <v>BAY</v>
          </cell>
          <cell r="E395" t="str">
            <v>161-1-38423-6</v>
          </cell>
        </row>
        <row r="396">
          <cell r="B396" t="str">
            <v>บจ.ทรัพย์สิริซัพพลาย</v>
          </cell>
          <cell r="C396" t="str">
            <v>คุณคมสัน  โตวรวิวัฒน์</v>
          </cell>
          <cell r="D396" t="str">
            <v>BBL</v>
          </cell>
          <cell r="E396" t="str">
            <v>211-0-55123-7</v>
          </cell>
        </row>
        <row r="397">
          <cell r="B397" t="str">
            <v>บจ.ทริปเปิลเอส&amp;เอ็นอีควิปเม้นท์</v>
          </cell>
          <cell r="C397" t="str">
            <v>คุณสมพร อบพล</v>
          </cell>
          <cell r="D397" t="str">
            <v>Kbank</v>
          </cell>
          <cell r="E397" t="str">
            <v>475-2-22127-5</v>
          </cell>
        </row>
        <row r="398">
          <cell r="B398" t="str">
            <v>บจ.ที.ซี.เค อินเตอร์เนชั่นแนล</v>
          </cell>
          <cell r="C398" t="str">
            <v>บจ.ที.ซี.เค อินเตอร์เนชั่นแนล</v>
          </cell>
          <cell r="D398" t="str">
            <v>Kbank</v>
          </cell>
          <cell r="E398" t="str">
            <v>312-2-02378-7</v>
          </cell>
        </row>
        <row r="399">
          <cell r="B399" t="str">
            <v>บจ.ที.เอช.เค ซีสเท็ม</v>
          </cell>
          <cell r="C399" t="str">
            <v>บจ.ที.เอช.เค ซีสเท็ม</v>
          </cell>
          <cell r="D399" t="str">
            <v>Kbank</v>
          </cell>
          <cell r="E399" t="str">
            <v>711-2-99399-6</v>
          </cell>
        </row>
        <row r="400">
          <cell r="B400" t="str">
            <v>บจ.ทีเค.วัน ขนส่ง และ เซอร์วิส</v>
          </cell>
          <cell r="C400" t="str">
            <v>บจ.ทีเค.วัน ขนส่ง และ เซอร์วิส</v>
          </cell>
          <cell r="D400" t="str">
            <v>BBL</v>
          </cell>
          <cell r="E400" t="str">
            <v>291-0-79342-7</v>
          </cell>
        </row>
        <row r="401">
          <cell r="B401" t="str">
            <v>บจ.ทีเอ็นกรุ๊ป คอร์ปอเรชั่น</v>
          </cell>
          <cell r="C401" t="str">
            <v>บจ.ทีเอ็นกรุ๊ป คอร์ปอเรชั่น</v>
          </cell>
          <cell r="D401" t="str">
            <v>Kbank</v>
          </cell>
          <cell r="E401" t="str">
            <v>331-2-99996-9</v>
          </cell>
        </row>
        <row r="402">
          <cell r="B402" t="str">
            <v>บจ.ทีเอ็นเมตัลเวิร์ค</v>
          </cell>
          <cell r="C402" t="str">
            <v>บจ.ทีเอ็นเมตัลเวิร์ค</v>
          </cell>
          <cell r="D402" t="str">
            <v>Kbank</v>
          </cell>
          <cell r="E402" t="str">
            <v>331-1-02553-7</v>
          </cell>
        </row>
        <row r="403">
          <cell r="B403" t="str">
            <v>บจ.ทีเอ็นเวิล์ดซัพพลาย</v>
          </cell>
          <cell r="C403" t="str">
            <v>บจ.ทีเอ็นเวิล์ดซัพพลาย</v>
          </cell>
          <cell r="D403" t="str">
            <v>Kbank</v>
          </cell>
          <cell r="E403" t="str">
            <v>331-1-02552-9</v>
          </cell>
        </row>
        <row r="404">
          <cell r="B404" t="str">
            <v>บจ.ทุ่งคาคอนกรีต</v>
          </cell>
          <cell r="C404" t="str">
            <v>บจก.ทุ่งคาคอนกรีต</v>
          </cell>
          <cell r="D404" t="str">
            <v>KTB</v>
          </cell>
          <cell r="E404" t="str">
            <v>832-6-00316-6</v>
          </cell>
        </row>
        <row r="405">
          <cell r="B405" t="str">
            <v xml:space="preserve">บจ.ทุ่งคาคอนกรีต </v>
          </cell>
          <cell r="C405" t="str">
            <v>คุณวีรวัฒน์และคุณเมธา</v>
          </cell>
          <cell r="D405" t="str">
            <v>KTB</v>
          </cell>
          <cell r="E405" t="str">
            <v>832-6-00655-6</v>
          </cell>
        </row>
        <row r="406">
          <cell r="B406" t="str">
            <v>บจ.ทูลโปรเฟสชั่น</v>
          </cell>
          <cell r="C406" t="str">
            <v>บจ.ทูลโปรเฟสชั่น</v>
          </cell>
          <cell r="D406" t="str">
            <v>Kbank</v>
          </cell>
          <cell r="E406" t="str">
            <v>548-2-18378-8</v>
          </cell>
        </row>
        <row r="407">
          <cell r="B407" t="str">
            <v>บจ.เทพศิริ</v>
          </cell>
          <cell r="C407" t="str">
            <v>นายวรเทพ ชุมพลกูลวงศ์</v>
          </cell>
          <cell r="D407" t="str">
            <v>BBL</v>
          </cell>
          <cell r="E407" t="str">
            <v>139-3-05987-6</v>
          </cell>
        </row>
        <row r="408">
          <cell r="B408" t="str">
            <v>บจ.ไทม์ แอคเซส โซลูชั่น</v>
          </cell>
          <cell r="C408" t="str">
            <v>บจ.ไทม์ แอคเซส โซลูชั่น</v>
          </cell>
          <cell r="D408" t="str">
            <v>Kbank</v>
          </cell>
          <cell r="E408" t="str">
            <v>011-1-77313-0</v>
          </cell>
        </row>
        <row r="409">
          <cell r="B409" t="str">
            <v>บจ.ไทย ท็อป ทูลส์</v>
          </cell>
          <cell r="C409" t="str">
            <v>บจ.ไทย ท็อป ทูลส์</v>
          </cell>
          <cell r="D409" t="str">
            <v>TTB</v>
          </cell>
          <cell r="E409" t="str">
            <v>215-1-00721-4</v>
          </cell>
        </row>
        <row r="410">
          <cell r="B410" t="str">
            <v>บจ.ไทยท็อปทูลส์ ฟิชชรี</v>
          </cell>
          <cell r="C410" t="str">
            <v>นายธนกรณ์  จันทร์ฟ้ารุ่งเรือง</v>
          </cell>
          <cell r="D410" t="str">
            <v>Kbank</v>
          </cell>
          <cell r="E410" t="str">
            <v>460-2-09913-5</v>
          </cell>
        </row>
        <row r="411">
          <cell r="B411" t="str">
            <v xml:space="preserve">บจ.ไทยท็อปทูลส์ ฟิชชรี </v>
          </cell>
          <cell r="C411" t="str">
            <v>นายโรจน์วิทย์  จันทร์ฟ้ารุ่งเรือง</v>
          </cell>
          <cell r="D411" t="str">
            <v>Kbank</v>
          </cell>
          <cell r="E411" t="str">
            <v>232-2-42121-7</v>
          </cell>
        </row>
        <row r="412">
          <cell r="B412" t="str">
            <v>บจ.ไทยพิพัฒน์ทูล แอนด์ โฮมมาร์ท</v>
          </cell>
          <cell r="C412" t="str">
            <v>บจ.ไทยพิพัฒน์ทูล แอนด์ โฮมมาร์ท</v>
          </cell>
          <cell r="D412" t="str">
            <v>KTB</v>
          </cell>
          <cell r="E412" t="str">
            <v>450-6-00255-5</v>
          </cell>
        </row>
        <row r="413">
          <cell r="B413" t="str">
            <v>บจ.ไทยมุ้ย คอร์ปอเรชั่น</v>
          </cell>
          <cell r="C413" t="str">
            <v>บจ.ไทยมุ้ย คอร์ปอเรชั่น</v>
          </cell>
          <cell r="D413" t="str">
            <v>Kbank</v>
          </cell>
          <cell r="E413" t="str">
            <v>050-2-23841-8</v>
          </cell>
        </row>
        <row r="414">
          <cell r="B414" t="str">
            <v>บจ.ไทยเมทอล อิมปอร์ต</v>
          </cell>
          <cell r="C414" t="str">
            <v>บจ.ไทยเมทอล อิมปอร์ต</v>
          </cell>
          <cell r="D414" t="str">
            <v>Kbank</v>
          </cell>
          <cell r="E414" t="str">
            <v>421-1-02577-3</v>
          </cell>
        </row>
        <row r="415">
          <cell r="B415" t="str">
            <v>บจ.ไทย อินดัสเตรียล เบรค</v>
          </cell>
          <cell r="C415" t="str">
            <v>บจ.ไทย อินดัสเตรียล เบรค</v>
          </cell>
          <cell r="D415" t="str">
            <v>Kbank</v>
          </cell>
          <cell r="E415" t="str">
            <v>170-8-02831-9</v>
          </cell>
        </row>
        <row r="416">
          <cell r="B416" t="str">
            <v>บจ.ไทร์ทรัคเซ็นเตอร์อินเตอร์เทรด</v>
          </cell>
          <cell r="C416" t="str">
            <v>บจ.ไทร์ทรัคเซ็นเตอร์อินเตอร์เทรด</v>
          </cell>
          <cell r="D416" t="str">
            <v>BBL</v>
          </cell>
          <cell r="E416" t="str">
            <v>238-4-62341-5</v>
          </cell>
        </row>
        <row r="417">
          <cell r="B417" t="str">
            <v>บจ.ไทเกอร์แพค</v>
          </cell>
          <cell r="C417" t="str">
            <v>บจ.ไทเกอร์แพค</v>
          </cell>
          <cell r="D417" t="str">
            <v>SCB</v>
          </cell>
          <cell r="E417" t="str">
            <v>090-2-35339-7</v>
          </cell>
        </row>
        <row r="418">
          <cell r="B418" t="str">
            <v>บจ.ธนพรอิเล็คทริค</v>
          </cell>
          <cell r="C418" t="str">
            <v>บจ.ธนพรอิเล็คทริค</v>
          </cell>
          <cell r="D418" t="str">
            <v>Kbank</v>
          </cell>
          <cell r="E418" t="str">
            <v>995-2-22702-2</v>
          </cell>
        </row>
        <row r="419">
          <cell r="B419" t="str">
            <v>บจ.นครหลวงแมชีนเนอรี่</v>
          </cell>
          <cell r="C419" t="str">
            <v>คุณพัลลภ - ประยงค์  วิริยะสัจจะ</v>
          </cell>
          <cell r="D419" t="str">
            <v>BBL</v>
          </cell>
          <cell r="E419" t="str">
            <v>050-1-06500-5</v>
          </cell>
        </row>
        <row r="420">
          <cell r="B420" t="str">
            <v>บจ.เนตรพยัพ รับเบอร์ แมชชีน</v>
          </cell>
          <cell r="C420" t="str">
            <v>บจ.เนตรพยัพ รับเบอร์ แมชชีน</v>
          </cell>
          <cell r="D420" t="str">
            <v>Kbank</v>
          </cell>
          <cell r="E420" t="str">
            <v>036-3-40972-5</v>
          </cell>
        </row>
        <row r="421">
          <cell r="B421" t="str">
            <v>บจ.บางกอกโคมัตสุเซลส์</v>
          </cell>
          <cell r="C421" t="str">
            <v>บจ.บางกอกโคมัตสุเซลส์</v>
          </cell>
          <cell r="D421" t="str">
            <v>BBL</v>
          </cell>
          <cell r="E421" t="str">
            <v>533-3-00821-6</v>
          </cell>
        </row>
        <row r="422">
          <cell r="B422" t="str">
            <v>บจ.ป.ธนะกิจรุ่งเรือง</v>
          </cell>
          <cell r="C422" t="str">
            <v>บจ.ป.ธนะกิจรุ่งเรือง</v>
          </cell>
          <cell r="D422" t="str">
            <v>Kbank</v>
          </cell>
          <cell r="E422" t="str">
            <v>012-8-93132-5</v>
          </cell>
        </row>
        <row r="423">
          <cell r="B423" t="str">
            <v>บจ.ประธานอีเลคตริค</v>
          </cell>
          <cell r="C423" t="str">
            <v>บจ.ประธานอีเลคตริค</v>
          </cell>
          <cell r="D423" t="str">
            <v>Kbank</v>
          </cell>
          <cell r="E423" t="str">
            <v>016-2-99549-9</v>
          </cell>
        </row>
        <row r="424">
          <cell r="B424" t="str">
            <v>บจ.ปัทมสูตร มาร์เก็ตติ้ง</v>
          </cell>
          <cell r="C424" t="str">
            <v>บจ.ปัทมสูตร มาร์เก็ตติ้ง</v>
          </cell>
          <cell r="D424" t="str">
            <v>BBL</v>
          </cell>
          <cell r="E424" t="str">
            <v>920-0-01419-0</v>
          </cell>
        </row>
        <row r="425">
          <cell r="B425" t="str">
            <v>บจ.พรรณแก้วขนส่ง</v>
          </cell>
          <cell r="C425" t="str">
            <v>บจ.พรรณแก้วขนส่ง</v>
          </cell>
          <cell r="D425" t="str">
            <v>Kbank</v>
          </cell>
          <cell r="E425" t="str">
            <v>232-2-25896-0</v>
          </cell>
        </row>
        <row r="426">
          <cell r="B426" t="str">
            <v>บจ.พรีเมียร์ไลนิ่ง รีนิวเอเบิล</v>
          </cell>
          <cell r="C426" t="str">
            <v>บจ.พรีเมียร์ไลนิ่ง รีนิวเอเบิล</v>
          </cell>
          <cell r="D426" t="str">
            <v>BBL</v>
          </cell>
          <cell r="E426" t="str">
            <v>170-3-07181-9</v>
          </cell>
        </row>
        <row r="427">
          <cell r="B427" t="str">
            <v>บจ.พลาสติกมาร์เก็ต</v>
          </cell>
          <cell r="C427" t="str">
            <v>บจ.พลาสติกมาร์เก็ต</v>
          </cell>
          <cell r="D427" t="str">
            <v>Kbank</v>
          </cell>
          <cell r="E427" t="str">
            <v>720-2-53843-2</v>
          </cell>
        </row>
        <row r="428">
          <cell r="B428" t="str">
            <v>บจ.พัฒนาภัณฑ์ โฮม แอพพลายแอนซ์</v>
          </cell>
          <cell r="C428" t="str">
            <v>บจ.พัฒนาภัณฑ์ โฮม แอพพลายแอนซ์</v>
          </cell>
          <cell r="D428" t="str">
            <v>BAY</v>
          </cell>
          <cell r="E428" t="str">
            <v>161-0-01871-0</v>
          </cell>
        </row>
        <row r="429">
          <cell r="B429" t="str">
            <v>บจ.พัฒนายนต์ชลบุรี</v>
          </cell>
          <cell r="C429" t="str">
            <v>บจ.พัฒนายนต์ชลบุรี</v>
          </cell>
          <cell r="D429" t="str">
            <v>BBL</v>
          </cell>
          <cell r="E429" t="str">
            <v>130-3-09467-4</v>
          </cell>
        </row>
        <row r="430">
          <cell r="B430" t="str">
            <v>บจ.พิน พอยต์ อินสทรูเม้นท์</v>
          </cell>
          <cell r="C430" t="str">
            <v>บจ.พิน พอยต์ อินสทรูเม้นท์</v>
          </cell>
          <cell r="D430" t="str">
            <v>SCB</v>
          </cell>
          <cell r="E430" t="str">
            <v>436-125446-9</v>
          </cell>
        </row>
        <row r="431">
          <cell r="B431" t="str">
            <v>บจ.พิพัฒนกิจเทรดดิ้ง</v>
          </cell>
          <cell r="C431" t="str">
            <v>บจ.พิพัฒนกิจเทรดดิ้ง</v>
          </cell>
          <cell r="D431" t="str">
            <v>Kbank</v>
          </cell>
          <cell r="E431" t="str">
            <v>027-2-90906-7</v>
          </cell>
        </row>
        <row r="432">
          <cell r="B432" t="str">
            <v>บจ.พีดับบลิว อินเตอร์มาร์ท</v>
          </cell>
          <cell r="C432" t="str">
            <v>คุณทศพร กิตติธรรมโรจน์</v>
          </cell>
          <cell r="D432" t="str">
            <v>SCB</v>
          </cell>
          <cell r="E432" t="str">
            <v>316-2-28961-1</v>
          </cell>
        </row>
        <row r="433">
          <cell r="B433" t="str">
            <v xml:space="preserve">บจ.พีดับบลิว อินเตอร์มาร์ท </v>
          </cell>
          <cell r="C433" t="str">
            <v xml:space="preserve">คุณทศพร กิตติธรรมโรจน์ </v>
          </cell>
          <cell r="D433" t="str">
            <v>Kbank</v>
          </cell>
          <cell r="E433" t="str">
            <v>261-2-11978-8</v>
          </cell>
        </row>
        <row r="434">
          <cell r="B434" t="str">
            <v>บจ.พีดับบลิว อินเตอร์มาร์ท.</v>
          </cell>
          <cell r="C434" t="str">
            <v>บจ.พีดับบลิว อินเตอร์มาร์ท</v>
          </cell>
          <cell r="D434" t="str">
            <v>SCB</v>
          </cell>
          <cell r="E434" t="str">
            <v>316-3-01822-5</v>
          </cell>
        </row>
        <row r="435">
          <cell r="B435" t="str">
            <v>บจ.พีอาร์วิศวกรรม BBL</v>
          </cell>
          <cell r="C435" t="str">
            <v xml:space="preserve">บจ.พีอาร์วิศวกรรม </v>
          </cell>
          <cell r="D435" t="str">
            <v>BBL</v>
          </cell>
          <cell r="E435" t="str">
            <v>105-3-04796-3</v>
          </cell>
        </row>
        <row r="436">
          <cell r="B436" t="str">
            <v>บจ.พีอาร์วิศวกรรม K</v>
          </cell>
          <cell r="C436" t="str">
            <v>บจ.พีอาร์วิศวกรรม</v>
          </cell>
          <cell r="D436" t="str">
            <v>Kbank</v>
          </cell>
          <cell r="E436" t="str">
            <v>060-1-00620-0</v>
          </cell>
        </row>
        <row r="437">
          <cell r="B437" t="str">
            <v>บจ.พีเอสวิคตอรี่ ซิสเต็ม เอ็นเตอร์ไพรส์</v>
          </cell>
          <cell r="C437" t="str">
            <v>บจ.พีเอสวิคตอรี่ ซิสเต็ม เอ็นเตอร์ไพรส์</v>
          </cell>
          <cell r="D437" t="str">
            <v>Kbank</v>
          </cell>
          <cell r="E437" t="str">
            <v>768-2-02805-4</v>
          </cell>
        </row>
        <row r="438">
          <cell r="B438" t="str">
            <v>บจ.พีเอเอ็น อิมปอร์ต</v>
          </cell>
          <cell r="C438" t="str">
            <v>คุณพงษ์ศักดิ์  มงคลพร</v>
          </cell>
          <cell r="D438" t="str">
            <v>Kbank</v>
          </cell>
          <cell r="E438" t="str">
            <v>184-2-59232-8</v>
          </cell>
        </row>
        <row r="439">
          <cell r="B439" t="str">
            <v>บจ.พีแอนด์เอสเอ็นเตอร์ไพร์ส(ประเทศไทย)</v>
          </cell>
          <cell r="C439" t="str">
            <v>บจ.พีแอนด์เอสเอ็นเตอร์ไพร์ส(ประเทศไทย)</v>
          </cell>
          <cell r="D439" t="str">
            <v>BBL</v>
          </cell>
          <cell r="E439" t="str">
            <v>130-4-63106-0</v>
          </cell>
        </row>
        <row r="440">
          <cell r="B440" t="str">
            <v>บจ.ภัทรเมธากิจ</v>
          </cell>
          <cell r="C440" t="str">
            <v>บจ.ภัทรเมธากิจ</v>
          </cell>
          <cell r="D440" t="str">
            <v>BBL</v>
          </cell>
          <cell r="E440" t="str">
            <v>121-3-05860-3</v>
          </cell>
        </row>
        <row r="441">
          <cell r="B441" t="str">
            <v>บจ.มานิตย์ระนองการเกษตร</v>
          </cell>
          <cell r="C441" t="str">
            <v>บจ.มานิตย์ระนองการเกษตร</v>
          </cell>
          <cell r="D441" t="str">
            <v>SCB</v>
          </cell>
          <cell r="E441" t="str">
            <v>581-2-40400-0</v>
          </cell>
        </row>
        <row r="442">
          <cell r="B442" t="str">
            <v>บจ.มิตรแท้ประกันภัย</v>
          </cell>
          <cell r="C442" t="str">
            <v>บจ.มิตรแท้ประกันภัย</v>
          </cell>
          <cell r="D442" t="str">
            <v>Kbank</v>
          </cell>
          <cell r="E442" t="str">
            <v>001-2-15679-2</v>
          </cell>
        </row>
        <row r="443">
          <cell r="B443" t="str">
            <v>บจ.มุลเลอร์กรุ๊ป</v>
          </cell>
          <cell r="C443" t="str">
            <v>บจ.มุลเลอร์กรุ๊ป</v>
          </cell>
          <cell r="D443" t="str">
            <v>BBL</v>
          </cell>
          <cell r="E443" t="str">
            <v>246-3-00521-1</v>
          </cell>
        </row>
        <row r="444">
          <cell r="B444" t="str">
            <v>บจ.มูน สตาร์ซ์ อิมพอร์ต เอ็กซ์พอร์ต</v>
          </cell>
          <cell r="C444" t="str">
            <v>บจ.มูน สตาร์ซ์ อิมพอร์ต เอ็กซ์พอร์ต</v>
          </cell>
          <cell r="D444" t="str">
            <v>Kbank</v>
          </cell>
          <cell r="E444" t="str">
            <v>060-2-84909-0</v>
          </cell>
        </row>
        <row r="445">
          <cell r="B445" t="str">
            <v>บจ.เมก้า ยูโร</v>
          </cell>
          <cell r="C445" t="str">
            <v>บจ.เมก้า ยูโร</v>
          </cell>
          <cell r="D445" t="str">
            <v>BAY</v>
          </cell>
          <cell r="E445" t="str">
            <v>333-1-81810-0</v>
          </cell>
        </row>
        <row r="446">
          <cell r="B446" t="str">
            <v>บจ.เมโทร ลูบริคแคนท์</v>
          </cell>
          <cell r="C446" t="str">
            <v>บจ.เมโทร ลูบริคแคนท์</v>
          </cell>
          <cell r="D446" t="str">
            <v>BBL</v>
          </cell>
          <cell r="E446" t="str">
            <v>202-4-40022-4</v>
          </cell>
        </row>
        <row r="447">
          <cell r="B447" t="str">
            <v>บจ.เมโทรแมชีนเนอรี่</v>
          </cell>
          <cell r="C447" t="str">
            <v>บจ.เมโทรแมชีนเนอรี่</v>
          </cell>
          <cell r="D447" t="str">
            <v>BBL</v>
          </cell>
          <cell r="E447" t="str">
            <v>534-3-00078-1</v>
          </cell>
        </row>
        <row r="448">
          <cell r="B448" t="str">
            <v>บจ.โมบาย อินโนเวชั่น</v>
          </cell>
          <cell r="C448" t="str">
            <v>บจ.โมบาย อินโนเวชั่น</v>
          </cell>
          <cell r="D448" t="str">
            <v>Kbank</v>
          </cell>
          <cell r="E448" t="str">
            <v>052-2-63399-2</v>
          </cell>
        </row>
        <row r="449">
          <cell r="B449" t="str">
            <v>บจ.ย่งฮงประเทศไทย</v>
          </cell>
          <cell r="C449" t="str">
            <v>บจ.ย่งฮงประเทศไทย</v>
          </cell>
          <cell r="D449" t="str">
            <v>Kbank</v>
          </cell>
          <cell r="E449" t="str">
            <v>027-1-17722-4</v>
          </cell>
        </row>
        <row r="450">
          <cell r="B450" t="str">
            <v>บจ.ยนต์ไทยพัฒนา</v>
          </cell>
          <cell r="C450" t="str">
            <v>คุณธงชัย  วรนาวิน</v>
          </cell>
          <cell r="D450" t="str">
            <v>Kbank</v>
          </cell>
          <cell r="E450" t="str">
            <v>048-2-98170-4</v>
          </cell>
        </row>
        <row r="451">
          <cell r="B451" t="str">
            <v xml:space="preserve">บจ.ยนต์ไทยพัฒนา </v>
          </cell>
          <cell r="C451" t="str">
            <v>บจ.ยนต์ไทยพัฒนา</v>
          </cell>
          <cell r="D451" t="str">
            <v>Kbank</v>
          </cell>
          <cell r="E451" t="str">
            <v>048-1-02442-0</v>
          </cell>
        </row>
        <row r="452">
          <cell r="B452" t="str">
            <v>บจ.ยนตรการเมทัลเวิร์ค</v>
          </cell>
          <cell r="C452" t="str">
            <v>บจ.ยนตรการเมทัลเวิร์ค</v>
          </cell>
          <cell r="D452" t="str">
            <v>BBL</v>
          </cell>
          <cell r="E452" t="str">
            <v>308-3-03543-0</v>
          </cell>
        </row>
        <row r="453">
          <cell r="B453" t="str">
            <v>บจ.ยูนิตี้ ไอที ซิสเต็ม</v>
          </cell>
          <cell r="C453" t="str">
            <v>บจ.ยูนิตี้ ไอที ซิสเต็ม</v>
          </cell>
          <cell r="D453" t="str">
            <v>BBL</v>
          </cell>
          <cell r="E453" t="str">
            <v>291-0-87818-6</v>
          </cell>
        </row>
        <row r="454">
          <cell r="B454" t="str">
            <v>บจ.ยูโรป้า ฮาร์ดแวร์ กรุ๊ป</v>
          </cell>
          <cell r="C454" t="str">
            <v>บจ.ยูโรป้า ฮาร์ดแวร์ กรุ๊ป</v>
          </cell>
          <cell r="D454" t="str">
            <v>Kbank</v>
          </cell>
          <cell r="E454" t="str">
            <v>034-2-87677-3</v>
          </cell>
        </row>
        <row r="455">
          <cell r="B455" t="str">
            <v>บจ.ร๊อคแคนวาส</v>
          </cell>
          <cell r="C455" t="str">
            <v>นายสมเกียรติ  แสนเจริญ</v>
          </cell>
          <cell r="D455" t="str">
            <v>Kbank</v>
          </cell>
          <cell r="E455" t="str">
            <v>090-2-10295-7</v>
          </cell>
        </row>
        <row r="456">
          <cell r="B456" t="str">
            <v>บจ.โรงกลึงสองวัลย์</v>
          </cell>
          <cell r="C456" t="str">
            <v>คุณเครือวัลย์  วระพิมรัตน์</v>
          </cell>
          <cell r="D456" t="str">
            <v>Kbank</v>
          </cell>
          <cell r="E456" t="str">
            <v>711-2-49291-1</v>
          </cell>
        </row>
        <row r="457">
          <cell r="B457" t="str">
            <v>บจ.ลี้เซียฮวด</v>
          </cell>
          <cell r="C457" t="str">
            <v>บจ.ลี้เซียฮวด</v>
          </cell>
          <cell r="D457" t="str">
            <v>BBL</v>
          </cell>
          <cell r="E457" t="str">
            <v>112-0-29398-8</v>
          </cell>
        </row>
        <row r="458">
          <cell r="B458" t="str">
            <v>บจ.ลีบแฮรร์ (ประเทศไทย)</v>
          </cell>
          <cell r="C458" t="str">
            <v>บจ.ลีบแฮรร์ (ประเทศไทย)</v>
          </cell>
          <cell r="D458" t="str">
            <v>Kbank</v>
          </cell>
          <cell r="E458" t="str">
            <v>280-2-29019-8</v>
          </cell>
        </row>
        <row r="459">
          <cell r="B459" t="str">
            <v>บจ.ลีแมชชีนเนอรี่(ประเทศไทย)</v>
          </cell>
          <cell r="C459" t="str">
            <v>บจ.ลีแมชชีนเนอรี่(ประเทศไทย)</v>
          </cell>
          <cell r="D459" t="str">
            <v>UOB</v>
          </cell>
          <cell r="E459" t="str">
            <v>701-1-25701-5</v>
          </cell>
        </row>
        <row r="460">
          <cell r="B460" t="str">
            <v>บจ.เล็กสตาร์กรุ๊ป</v>
          </cell>
          <cell r="C460" t="str">
            <v>บจ.เล็กสตาร์กรุ๊ป</v>
          </cell>
          <cell r="D460" t="str">
            <v>KTB</v>
          </cell>
          <cell r="E460" t="str">
            <v>494-6-00157-3</v>
          </cell>
        </row>
        <row r="461">
          <cell r="B461" t="str">
            <v>บจ.เลิศสยามสตีล BBL</v>
          </cell>
          <cell r="C461" t="str">
            <v>บจ.เลิศสยามสตีล</v>
          </cell>
          <cell r="D461" t="str">
            <v>BBL</v>
          </cell>
          <cell r="E461" t="str">
            <v>139-3-07629-2</v>
          </cell>
        </row>
        <row r="462">
          <cell r="B462" t="str">
            <v>บจ.เลิศสยามสตีล K</v>
          </cell>
          <cell r="C462" t="str">
            <v xml:space="preserve">บจ. เลิศสยามสตีล </v>
          </cell>
          <cell r="D462" t="str">
            <v>Kbank</v>
          </cell>
          <cell r="E462" t="str">
            <v>066-1-06958-9</v>
          </cell>
        </row>
        <row r="463">
          <cell r="B463" t="str">
            <v>บจ.เลี่ยงฮะเอ็นเตอร์ไพรส์</v>
          </cell>
          <cell r="C463" t="str">
            <v>คุณเสริมสิน วงศ์ญาพรหม</v>
          </cell>
          <cell r="D463" t="str">
            <v>Kbank</v>
          </cell>
          <cell r="E463" t="str">
            <v>033-1-89533-4</v>
          </cell>
        </row>
        <row r="464">
          <cell r="B464" t="str">
            <v>บจ.วอเตอร์ วอเตอร์กรุ๊ป</v>
          </cell>
          <cell r="C464" t="str">
            <v>นายจักรกฤษณ์  คงเพชร</v>
          </cell>
          <cell r="D464" t="str">
            <v>Kbank</v>
          </cell>
          <cell r="E464" t="str">
            <v>081-1-03752-4</v>
          </cell>
        </row>
        <row r="465">
          <cell r="B465" t="str">
            <v>บจ.วาตะศิลป์</v>
          </cell>
          <cell r="C465" t="str">
            <v>นายเมธี วาตะศิริกุล</v>
          </cell>
          <cell r="D465" t="str">
            <v>TTB</v>
          </cell>
          <cell r="E465" t="str">
            <v>313-2-70994-4</v>
          </cell>
        </row>
        <row r="466">
          <cell r="B466" t="str">
            <v xml:space="preserve">บจ.วาตะศิลป์ </v>
          </cell>
          <cell r="C466" t="str">
            <v xml:space="preserve">นายเมธี วาตะศิริกุล </v>
          </cell>
          <cell r="D466" t="str">
            <v>KTB</v>
          </cell>
          <cell r="E466" t="str">
            <v>827-6-00455-5</v>
          </cell>
        </row>
        <row r="467">
          <cell r="B467" t="str">
            <v>บจ.วาตะศิลป์โลหะการ</v>
          </cell>
          <cell r="C467" t="str">
            <v>บจ.วาตะศิลป์โลหะการ</v>
          </cell>
          <cell r="D467" t="str">
            <v>BBL</v>
          </cell>
          <cell r="E467" t="str">
            <v>291-3-05395-1</v>
          </cell>
        </row>
        <row r="468">
          <cell r="B468" t="str">
            <v xml:space="preserve">บจ.วาตะศิลป์โลหะการ </v>
          </cell>
          <cell r="C468" t="str">
            <v>บจ. วาตะศิลป์โลหะการ</v>
          </cell>
          <cell r="D468" t="str">
            <v>BBL</v>
          </cell>
          <cell r="E468" t="str">
            <v>296-0-62987-7</v>
          </cell>
        </row>
        <row r="469">
          <cell r="B469" t="str">
            <v>บจ.วานิชรุ่งเรือง โกลบอล เอ็นจิเนียริ่ง</v>
          </cell>
          <cell r="C469" t="str">
            <v>บจ.วานิชรุ่งเรือง โกลบอล เอ็นจิเนียริ่ง</v>
          </cell>
          <cell r="D469" t="str">
            <v>SCB</v>
          </cell>
          <cell r="E469" t="str">
            <v>046-3-04693-8</v>
          </cell>
        </row>
        <row r="470">
          <cell r="B470" t="str">
            <v>บจ.วานิชรุ่งเรือง เอ็นจิเนียริ่ง</v>
          </cell>
          <cell r="C470" t="str">
            <v>บจ.วานิชรุ่งเรือง เอ็นจิเนียริ่ง</v>
          </cell>
          <cell r="D470" t="str">
            <v>Kbank</v>
          </cell>
          <cell r="E470" t="str">
            <v>743-1-03553-1</v>
          </cell>
        </row>
        <row r="471">
          <cell r="B471" t="str">
            <v>บจ.วาริท</v>
          </cell>
          <cell r="C471" t="str">
            <v>บจ.วาริท</v>
          </cell>
          <cell r="D471" t="str">
            <v>Kbank</v>
          </cell>
          <cell r="E471" t="str">
            <v>713-2-11955-9</v>
          </cell>
        </row>
        <row r="472">
          <cell r="B472" t="str">
            <v>บจ.วีระสตีลอิมปอร์ต</v>
          </cell>
          <cell r="C472" t="str">
            <v>บจ.วีระสตีลอิมปอร์ต</v>
          </cell>
          <cell r="D472" t="str">
            <v>Kbank</v>
          </cell>
          <cell r="E472" t="str">
            <v>050-2-51115-7</v>
          </cell>
        </row>
        <row r="473">
          <cell r="B473" t="str">
            <v>บจ.วีอาร์. วาเลอร์</v>
          </cell>
          <cell r="C473" t="str">
            <v>บจ.วีอาร์. วาเลอร์</v>
          </cell>
          <cell r="D473" t="str">
            <v>BBL</v>
          </cell>
          <cell r="E473" t="str">
            <v>919-0-00991-1</v>
          </cell>
        </row>
        <row r="474">
          <cell r="B474" t="str">
            <v>บจ.เวลคัม เอฟโวลูชั่น</v>
          </cell>
          <cell r="C474" t="str">
            <v>บจ.เวลคัม เอฟโวลูชั่น</v>
          </cell>
          <cell r="D474" t="str">
            <v>SCB</v>
          </cell>
          <cell r="E474" t="str">
            <v>357-2-17657-1</v>
          </cell>
        </row>
        <row r="475">
          <cell r="B475" t="str">
            <v>บจ.ไวส์เอนเตอร์ไพรส์</v>
          </cell>
          <cell r="C475" t="str">
            <v>บจ.ไวส์เอนเตอร์ไพรส์</v>
          </cell>
          <cell r="D475" t="str">
            <v>Kbank</v>
          </cell>
          <cell r="E475" t="str">
            <v>055-1-08161-3</v>
          </cell>
        </row>
        <row r="476">
          <cell r="B476" t="str">
            <v>บจ.ศรีนครชัย อินเตอร์เทรดดิ้ง</v>
          </cell>
          <cell r="C476" t="str">
            <v>บจ.ศรีนครชัย อินเตอร์เทรดดิ้ง</v>
          </cell>
          <cell r="D476" t="str">
            <v>SCB</v>
          </cell>
          <cell r="E476" t="str">
            <v>038-4-75097-9</v>
          </cell>
        </row>
        <row r="477">
          <cell r="B477" t="str">
            <v>บจ.ศรีโพธิ์ทองเมตัลเวิร์ค</v>
          </cell>
          <cell r="C477" t="str">
            <v>บจ.ศรีโพธิ์ทองเมตัลเวิร์ค</v>
          </cell>
          <cell r="D477" t="str">
            <v>BBL</v>
          </cell>
          <cell r="E477" t="str">
            <v>114-3-11686-9</v>
          </cell>
        </row>
        <row r="478">
          <cell r="B478" t="str">
            <v>บจ.ศุฐิศา อินเทลลิเจนท์</v>
          </cell>
          <cell r="C478" t="str">
            <v>บจ.ศุฐิศา อินเทลลิเจนท์</v>
          </cell>
          <cell r="D478" t="str">
            <v>Kbank</v>
          </cell>
          <cell r="E478" t="str">
            <v>197-1-51365-5</v>
          </cell>
        </row>
        <row r="479">
          <cell r="B479" t="str">
            <v>บจ.สมัยการค้า</v>
          </cell>
          <cell r="C479" t="str">
            <v>บจ.สมัยการค้า</v>
          </cell>
          <cell r="D479" t="str">
            <v>Kbank</v>
          </cell>
          <cell r="E479" t="str">
            <v>232-2-30998-0</v>
          </cell>
        </row>
        <row r="480">
          <cell r="B480" t="str">
            <v>บจ.สมาร์ท คูล (ไทยแลนด์)</v>
          </cell>
          <cell r="C480" t="str">
            <v>บจ.สมาร์ท คูล(ไทยแลนด์)</v>
          </cell>
          <cell r="D480" t="str">
            <v>Kbank</v>
          </cell>
          <cell r="E480" t="str">
            <v>021-8-94998-3</v>
          </cell>
        </row>
        <row r="481">
          <cell r="B481" t="str">
            <v>บจ.สมาร์ท คูล(ไทยแลนด์)</v>
          </cell>
          <cell r="C481" t="str">
            <v>คุณณัชชารีย์  สมเผดิมชญากิตติ์</v>
          </cell>
          <cell r="D481" t="str">
            <v>TTB</v>
          </cell>
          <cell r="E481" t="str">
            <v>215-7-33023-0</v>
          </cell>
        </row>
        <row r="482">
          <cell r="B482" t="str">
            <v>บจ.สยาม โกลบอล กรุ๊ป</v>
          </cell>
          <cell r="C482" t="str">
            <v>บจ.สยาม โกลบอล กรุ๊ป</v>
          </cell>
          <cell r="D482" t="str">
            <v>BBL</v>
          </cell>
          <cell r="E482" t="str">
            <v>919-3-00165-9</v>
          </cell>
        </row>
        <row r="483">
          <cell r="B483" t="str">
            <v>บจ.สยามชัยอลูมิเนี่ยม และ ผ้าใบ</v>
          </cell>
          <cell r="C483" t="str">
            <v>น.ส.จุรีจันทร์ ประพันธเทวา</v>
          </cell>
          <cell r="D483" t="str">
            <v>SCB</v>
          </cell>
          <cell r="E483" t="str">
            <v>405-9-62952-0</v>
          </cell>
        </row>
        <row r="484">
          <cell r="B484" t="str">
            <v>บจ.สยามบราเดอร์</v>
          </cell>
          <cell r="C484" t="str">
            <v>บจ.สยามบราเดอร์</v>
          </cell>
          <cell r="D484" t="str">
            <v>BBL</v>
          </cell>
          <cell r="E484" t="str">
            <v>101-3-05631-0</v>
          </cell>
        </row>
        <row r="485">
          <cell r="B485" t="str">
            <v>บจ.สยามแบริ่ง</v>
          </cell>
          <cell r="C485" t="str">
            <v>สยามแบริ่ง โดยนายประวิทย์</v>
          </cell>
          <cell r="D485" t="str">
            <v>BBL</v>
          </cell>
          <cell r="E485" t="str">
            <v>103-0-65093-9</v>
          </cell>
        </row>
        <row r="486">
          <cell r="B486" t="str">
            <v>บจ.สะดวก สะอาด ปลอดภัย</v>
          </cell>
          <cell r="C486" t="str">
            <v>บจ.สะดวก สะอาด ปลอดภัย</v>
          </cell>
          <cell r="D486" t="str">
            <v>Kbank</v>
          </cell>
          <cell r="E486" t="str">
            <v>035-3-44573-1</v>
          </cell>
        </row>
        <row r="487">
          <cell r="B487" t="str">
            <v xml:space="preserve">บจ.สะดวก สะอาด ปลอดภัย </v>
          </cell>
          <cell r="C487" t="str">
            <v>คุณรัชดา  ศรีพัฒนวงศ์</v>
          </cell>
          <cell r="D487" t="str">
            <v>Kbank</v>
          </cell>
          <cell r="E487" t="str">
            <v>727-2-01034-4</v>
          </cell>
        </row>
        <row r="488">
          <cell r="B488" t="str">
            <v>บจ.สินทองคำพาณิชย์</v>
          </cell>
          <cell r="C488" t="str">
            <v>บจ.สินทองคำพาณิชย์</v>
          </cell>
          <cell r="D488" t="str">
            <v>Kbank</v>
          </cell>
          <cell r="E488" t="str">
            <v>178-8-32354-5</v>
          </cell>
        </row>
        <row r="489">
          <cell r="B489" t="str">
            <v>บจ.สุราษ พาร์ท&amp;เซอร์วิสเซส</v>
          </cell>
          <cell r="C489" t="str">
            <v>บจ.สุราษ พาร์ท&amp;เซอร์วิสเซส</v>
          </cell>
          <cell r="D489" t="str">
            <v>Kbank</v>
          </cell>
          <cell r="E489" t="str">
            <v>657-2-20836-0</v>
          </cell>
        </row>
        <row r="490">
          <cell r="B490" t="str">
            <v>บจ.เหล็กสยามพาณิชย์</v>
          </cell>
          <cell r="C490" t="str">
            <v>บจ.เหล็กสยามพาณิชย์</v>
          </cell>
          <cell r="D490" t="str">
            <v>Kbank</v>
          </cell>
          <cell r="E490" t="str">
            <v>711-2-67311-8</v>
          </cell>
        </row>
        <row r="491">
          <cell r="B491" t="str">
            <v>บจ.ใหญ่สมบูรณ์เอ็นจิเนียริ่ง</v>
          </cell>
          <cell r="C491" t="str">
            <v>บจ.ใหญ่สมบูรณ์เอ็นจิเนียริ่ง</v>
          </cell>
          <cell r="D491" t="str">
            <v>Kbank</v>
          </cell>
          <cell r="E491" t="str">
            <v>084-3-92685-1</v>
          </cell>
        </row>
        <row r="492">
          <cell r="B492" t="str">
            <v>บจ.อมารี เอ็ซเทท</v>
          </cell>
          <cell r="C492" t="str">
            <v>บจ.อมารี เอ็ซเทท</v>
          </cell>
          <cell r="D492" t="str">
            <v>Kbank</v>
          </cell>
          <cell r="E492" t="str">
            <v>764-2-07217-4</v>
          </cell>
        </row>
        <row r="493">
          <cell r="B493" t="str">
            <v>บจ.อวนไทย</v>
          </cell>
          <cell r="C493" t="str">
            <v>บจ.อวนไทย</v>
          </cell>
          <cell r="D493" t="str">
            <v>BBL</v>
          </cell>
          <cell r="E493" t="str">
            <v>139-3-06493-4</v>
          </cell>
        </row>
        <row r="494">
          <cell r="B494" t="str">
            <v xml:space="preserve">บจ.อวนไทย </v>
          </cell>
          <cell r="C494" t="str">
            <v>คุณเจริญ และ คุณจุรีย์ คุปต์สินชัย</v>
          </cell>
          <cell r="D494" t="str">
            <v>Kbank</v>
          </cell>
          <cell r="E494" t="str">
            <v>050-2-37765-5</v>
          </cell>
        </row>
        <row r="495">
          <cell r="B495" t="str">
            <v>บจ.อินเตอร์ โบลท์ แอนด์ฟิตติ้ง</v>
          </cell>
          <cell r="C495" t="str">
            <v>บจ.อินเตอร์ โบลท์ แอนด์ฟิตติ้ง</v>
          </cell>
          <cell r="D495" t="str">
            <v>Kbank</v>
          </cell>
          <cell r="E495" t="str">
            <v>408-2-08614-0</v>
          </cell>
        </row>
        <row r="496">
          <cell r="B496" t="str">
            <v>บจ.อินเตอร์เนชั่นแนล คอนเน็ค เทรด</v>
          </cell>
          <cell r="C496" t="str">
            <v>บจ.อินเตอร์เนชั่นแนล คอนเน็ค เทรด</v>
          </cell>
          <cell r="D496" t="str">
            <v>Kbank</v>
          </cell>
          <cell r="E496" t="str">
            <v>730-2-26789-2</v>
          </cell>
        </row>
        <row r="497">
          <cell r="B497" t="str">
            <v>บจ.อินเทค</v>
          </cell>
          <cell r="C497" t="str">
            <v>คุณอาคม  นาคทอง</v>
          </cell>
          <cell r="D497" t="str">
            <v>Kbank</v>
          </cell>
          <cell r="E497" t="str">
            <v>734-2-34309-5</v>
          </cell>
        </row>
        <row r="498">
          <cell r="B498" t="str">
            <v>บจ.อีซูซุระนอง</v>
          </cell>
          <cell r="C498" t="str">
            <v>บจ.อีซูซุระนอง</v>
          </cell>
          <cell r="D498" t="str">
            <v>SCB</v>
          </cell>
          <cell r="E498" t="str">
            <v>581-2-08700-2</v>
          </cell>
        </row>
        <row r="499">
          <cell r="B499" t="str">
            <v>บจ.เอชพี วาล์ว(ประเทศไทย)</v>
          </cell>
          <cell r="C499" t="str">
            <v>บจ.เอชพี วาล์ว(ประเทศไทย)</v>
          </cell>
          <cell r="D499" t="str">
            <v>SCB</v>
          </cell>
          <cell r="E499" t="str">
            <v>316-4-07920-8</v>
          </cell>
        </row>
        <row r="500">
          <cell r="B500" t="str">
            <v>บจ.เอพีสมาร์ท</v>
          </cell>
          <cell r="C500" t="str">
            <v>นายสมพงค์ ชาไธสงค์</v>
          </cell>
          <cell r="D500" t="str">
            <v>TTB</v>
          </cell>
          <cell r="E500" t="str">
            <v>924-7-83185-3</v>
          </cell>
        </row>
        <row r="501">
          <cell r="B501" t="str">
            <v>บจ.เอเชียเครื่องชั่ง</v>
          </cell>
          <cell r="C501" t="str">
            <v>คุณประมวน  เอกปัชชา</v>
          </cell>
          <cell r="D501" t="str">
            <v>SCB</v>
          </cell>
          <cell r="E501" t="str">
            <v>945-2-09885-7</v>
          </cell>
        </row>
        <row r="502">
          <cell r="B502" t="str">
            <v xml:space="preserve">บจ.เอเชียเครื่องชั่ง </v>
          </cell>
          <cell r="C502" t="str">
            <v xml:space="preserve">คุณประมวน  เอกปัชชา </v>
          </cell>
          <cell r="D502" t="str">
            <v>Kbank</v>
          </cell>
          <cell r="E502" t="str">
            <v>589-2-18793-4</v>
          </cell>
        </row>
        <row r="503">
          <cell r="B503" t="str">
            <v>บจ.เอส.อาร์.เจ โฟล์คลิฟท์</v>
          </cell>
          <cell r="C503" t="str">
            <v>คุณสุภา หรูพิทักษ์</v>
          </cell>
          <cell r="D503" t="str">
            <v>Kbank</v>
          </cell>
          <cell r="E503" t="str">
            <v>056-8-43179-0</v>
          </cell>
        </row>
        <row r="504">
          <cell r="B504" t="str">
            <v>บจ.เอสเคยูนิเวอร์เซล</v>
          </cell>
          <cell r="C504" t="str">
            <v>คุณศิรินทิพย์  คุณวัฒน์</v>
          </cell>
          <cell r="D504" t="str">
            <v>BBL</v>
          </cell>
          <cell r="E504" t="str">
            <v>245-0-51795-4</v>
          </cell>
        </row>
        <row r="505">
          <cell r="B505" t="str">
            <v xml:space="preserve">บจ.เอสเคยูนิเวอร์เซล </v>
          </cell>
          <cell r="C505" t="str">
            <v>บจ.เอสเคยูนิเวอร์เซล</v>
          </cell>
          <cell r="D505" t="str">
            <v>BBL</v>
          </cell>
          <cell r="E505" t="str">
            <v>151-3-07531-5</v>
          </cell>
        </row>
        <row r="506">
          <cell r="B506" t="str">
            <v>บจ.เอสซี เมทัล อินเตอร์กรุ๊ป</v>
          </cell>
          <cell r="C506" t="str">
            <v>บจ.เอสซี เมทัล อินเตอร์กรุ๊ป</v>
          </cell>
          <cell r="D506" t="str">
            <v>BAY</v>
          </cell>
          <cell r="E506" t="str">
            <v>038-1-29419-6</v>
          </cell>
        </row>
        <row r="507">
          <cell r="B507" t="str">
            <v>บจ.แอบปอน</v>
          </cell>
          <cell r="C507" t="str">
            <v>บจ.แอบปอน</v>
          </cell>
          <cell r="D507" t="str">
            <v>BBL</v>
          </cell>
          <cell r="E507" t="str">
            <v>001-3-30472-0</v>
          </cell>
        </row>
        <row r="508">
          <cell r="B508" t="str">
            <v>บจ.ไอทีซีฟิตติ้ง</v>
          </cell>
          <cell r="C508" t="str">
            <v>นายจักรกฤษณ์  อิทธิฤทธานนท์</v>
          </cell>
          <cell r="D508" t="str">
            <v>BBL</v>
          </cell>
          <cell r="E508" t="str">
            <v>048-0-29616-9</v>
          </cell>
        </row>
        <row r="509">
          <cell r="B509" t="str">
            <v>บจ.ไอทีซีฟิตติ้ง&amp;สตีล</v>
          </cell>
          <cell r="C509" t="str">
            <v>บจ.ไอทีซีฟิตติ้ง&amp;สตีล</v>
          </cell>
          <cell r="D509" t="str">
            <v>TTB</v>
          </cell>
          <cell r="E509" t="str">
            <v>016-2-43735-4</v>
          </cell>
        </row>
        <row r="510">
          <cell r="B510" t="str">
            <v>บจ.ไอแอนด์ยู อิเล็คทริค</v>
          </cell>
          <cell r="C510" t="str">
            <v>บจ.ไอแอนด์ยู อิเล็คทริค</v>
          </cell>
          <cell r="D510" t="str">
            <v>Kbank</v>
          </cell>
          <cell r="E510" t="str">
            <v>043-8-20141-6</v>
          </cell>
        </row>
        <row r="511">
          <cell r="B511" t="str">
            <v>บจ.ฮงเฮงฮวด</v>
          </cell>
          <cell r="C511" t="str">
            <v>คุณสุนีย์  ตกูลภักดีชุมพล</v>
          </cell>
          <cell r="D511" t="str">
            <v>Kbank</v>
          </cell>
          <cell r="E511" t="str">
            <v>011-2-52249-2</v>
          </cell>
        </row>
        <row r="512">
          <cell r="B512" t="str">
            <v>บจ.ฮั๋วเฮงหลี คอร์ปอเรชั่น</v>
          </cell>
          <cell r="C512" t="str">
            <v>บจ.ฮั๋วเฮงหลี คอร์ปอเรชั่น</v>
          </cell>
          <cell r="D512" t="str">
            <v>TTB</v>
          </cell>
          <cell r="E512" t="str">
            <v>799-1-00275-4</v>
          </cell>
        </row>
        <row r="513">
          <cell r="B513" t="str">
            <v>บจ.ฮาวเด้น แมกซี่ อินชัวรันส์ โบรกเกอร์</v>
          </cell>
          <cell r="C513" t="str">
            <v>บจ.ฮาวเด้น แมกซี่ อินชัวรันส์ โบรกเกอร์</v>
          </cell>
          <cell r="D513" t="str">
            <v>BBL</v>
          </cell>
          <cell r="E513" t="str">
            <v>181-4-83819-7</v>
          </cell>
        </row>
        <row r="514">
          <cell r="B514" t="str">
            <v xml:space="preserve">บจ.ฮาวเด้น แมกซี่ อินชัวรันส์ โบรกเกอร์ </v>
          </cell>
          <cell r="C514" t="str">
            <v xml:space="preserve">บจ.ฮาวเด้น แมกซี่ อินชัวรันส์ โบรกเกอร์ </v>
          </cell>
          <cell r="D514" t="str">
            <v>SCB</v>
          </cell>
          <cell r="E514" t="str">
            <v>010-4-32450-0</v>
          </cell>
        </row>
        <row r="515">
          <cell r="B515" t="str">
            <v>บมจ.กรุงเทพดุสิตเวชการ</v>
          </cell>
          <cell r="C515" t="str">
            <v>บมจ.กรุงเทพดุสิตเวชการ</v>
          </cell>
          <cell r="D515" t="str">
            <v>BBL</v>
          </cell>
          <cell r="E515" t="str">
            <v>215-0-32497-4</v>
          </cell>
        </row>
        <row r="516">
          <cell r="B516" t="str">
            <v>บมจ.เมืองไทยประกันชีวิต</v>
          </cell>
          <cell r="C516" t="str">
            <v>บมจ.เมืองไทยประกันชีวิต</v>
          </cell>
          <cell r="D516" t="str">
            <v>QR</v>
          </cell>
          <cell r="E516" t="str">
            <v>QR Code</v>
          </cell>
        </row>
        <row r="517">
          <cell r="B517" t="str">
            <v>บ่อน้ำโกแดง</v>
          </cell>
          <cell r="C517" t="str">
            <v>นายบุญรัตน์  สิงโต</v>
          </cell>
          <cell r="D517" t="str">
            <v>Kbank</v>
          </cell>
          <cell r="E517" t="str">
            <v>063-8-84844-9</v>
          </cell>
        </row>
        <row r="518">
          <cell r="B518" t="str">
            <v>บ่อน้ำจิ้นเห้ง</v>
          </cell>
          <cell r="C518" t="str">
            <v>น.ส.กัญญศร  นิรามิษ</v>
          </cell>
          <cell r="D518" t="str">
            <v>Kbank</v>
          </cell>
          <cell r="E518" t="str">
            <v>064-3-19566-6</v>
          </cell>
        </row>
        <row r="519">
          <cell r="B519" t="str">
            <v>บ่อน้ำตาอิน</v>
          </cell>
          <cell r="C519" t="str">
            <v>คุณวิวดี  ชมทอง</v>
          </cell>
          <cell r="D519" t="str">
            <v>TTB</v>
          </cell>
          <cell r="E519" t="str">
            <v>429-2-36373-8</v>
          </cell>
        </row>
        <row r="520">
          <cell r="B520" t="str">
            <v xml:space="preserve">บ่อน้ำตาอิน </v>
          </cell>
          <cell r="C520" t="str">
            <v>น.ส.วิวดี  ชมทอง</v>
          </cell>
          <cell r="D520" t="str">
            <v>TTB</v>
          </cell>
          <cell r="E520" t="str">
            <v>791-2-08854-4</v>
          </cell>
        </row>
        <row r="521">
          <cell r="B521" t="str">
            <v>บิ๋น</v>
          </cell>
          <cell r="C521" t="str">
            <v>นายณัฐพล  โพธิ์ทอง</v>
          </cell>
          <cell r="D521" t="str">
            <v>SCB</v>
          </cell>
          <cell r="E521" t="str">
            <v>408-1-71574-5</v>
          </cell>
        </row>
        <row r="522">
          <cell r="B522" t="str">
            <v>ป.เจริญชัยเทรดดิ้ง</v>
          </cell>
          <cell r="C522" t="str">
            <v>คุณประเสริฐ เหลืองวัชรกุล</v>
          </cell>
          <cell r="D522" t="str">
            <v>BBL</v>
          </cell>
          <cell r="E522" t="str">
            <v>186-0-43834-8</v>
          </cell>
        </row>
        <row r="523">
          <cell r="B523" t="str">
            <v>ปป. ภาค8</v>
          </cell>
          <cell r="C523" t="str">
            <v>นายบรรจบ  วรรญเวก</v>
          </cell>
          <cell r="D523" t="str">
            <v>Kbank</v>
          </cell>
          <cell r="E523" t="str">
            <v>014-2-79682-1</v>
          </cell>
        </row>
        <row r="524">
          <cell r="B524" t="str">
            <v>ปป.ภาค  8</v>
          </cell>
          <cell r="C524" t="str">
            <v>นายณฤพงศ์ ศรัทธาสุข</v>
          </cell>
          <cell r="D524" t="str">
            <v>SCB</v>
          </cell>
          <cell r="E524" t="str">
            <v>612-2-47886-8</v>
          </cell>
        </row>
        <row r="525">
          <cell r="B525" t="str">
            <v>ปป.ภาค 8</v>
          </cell>
          <cell r="C525" t="str">
            <v>นายประเสริฐ   เภาโบรมย์</v>
          </cell>
          <cell r="D525" t="str">
            <v>Kbank</v>
          </cell>
          <cell r="E525" t="str">
            <v>128-1-95951-0</v>
          </cell>
        </row>
        <row r="526">
          <cell r="B526" t="str">
            <v>ปป.ภาค8</v>
          </cell>
          <cell r="C526" t="str">
            <v>นายพงศ์วิวัฒน์  ทองจันทร์</v>
          </cell>
          <cell r="D526" t="str">
            <v>SCB</v>
          </cell>
          <cell r="E526" t="str">
            <v>612-2-47597-5</v>
          </cell>
        </row>
        <row r="527">
          <cell r="B527" t="str">
            <v>ประมงภัณฑ์</v>
          </cell>
          <cell r="C527" t="str">
            <v>นายชาญชัย  ธนาชีวิต</v>
          </cell>
          <cell r="D527" t="str">
            <v>SCB</v>
          </cell>
          <cell r="E527" t="str">
            <v>468-0-56166-6</v>
          </cell>
        </row>
        <row r="528">
          <cell r="B528" t="str">
            <v>ประยุทธ์</v>
          </cell>
          <cell r="C528" t="str">
            <v>นายประยุทธ์ ผลสด</v>
          </cell>
          <cell r="D528" t="str">
            <v>Kbank</v>
          </cell>
          <cell r="E528" t="str">
            <v>019-3-58194-3</v>
          </cell>
        </row>
        <row r="529">
          <cell r="B529" t="str">
            <v>ประสงค์ โตวัฒนา</v>
          </cell>
          <cell r="C529" t="str">
            <v>นายประสงค์ โตวัฒนา</v>
          </cell>
          <cell r="D529" t="str">
            <v>SCB</v>
          </cell>
          <cell r="E529" t="str">
            <v>515-2-60128-1</v>
          </cell>
        </row>
        <row r="530">
          <cell r="B530" t="str">
            <v>ปั้มตันปุ้น</v>
          </cell>
          <cell r="C530" t="str">
            <v>หจก.ตันปุ้นระนอง</v>
          </cell>
          <cell r="D530" t="str">
            <v>BBL</v>
          </cell>
          <cell r="E530" t="str">
            <v>527-014784-5</v>
          </cell>
        </row>
        <row r="531">
          <cell r="B531" t="str">
            <v>ปั้มตันปุ้น.</v>
          </cell>
          <cell r="C531" t="str">
            <v>หจก.ตันปุ้นระนอง.</v>
          </cell>
          <cell r="D531" t="str">
            <v>Kbank</v>
          </cell>
          <cell r="E531" t="str">
            <v>061-8-16332-6</v>
          </cell>
        </row>
        <row r="532">
          <cell r="B532" t="str">
            <v>ผู้การปริญญา</v>
          </cell>
          <cell r="C532" t="str">
            <v>พลตำรวจตรีปริญญา ขวัญยืน</v>
          </cell>
          <cell r="D532" t="str">
            <v>SCB</v>
          </cell>
          <cell r="E532" t="str">
            <v>581-2-18700-6</v>
          </cell>
        </row>
        <row r="533">
          <cell r="B533" t="str">
            <v>พ.เจริญยนต์</v>
          </cell>
          <cell r="C533" t="str">
            <v>นายนิพนธ์ ยินดีอนันต์</v>
          </cell>
          <cell r="D533" t="str">
            <v>BAY</v>
          </cell>
          <cell r="E533" t="str">
            <v>161-1-14220-6</v>
          </cell>
        </row>
        <row r="534">
          <cell r="B534" t="str">
            <v>พ.ต.อ.ภคยศ ทนงศักดิ์</v>
          </cell>
          <cell r="C534" t="str">
            <v>พ.ต.อ.ภคยศ ทนงศักดิ์</v>
          </cell>
          <cell r="D534" t="str">
            <v>KTB</v>
          </cell>
          <cell r="E534" t="str">
            <v>806-0-72518-1</v>
          </cell>
        </row>
        <row r="535">
          <cell r="B535" t="str">
            <v>พ.ต.อ.สมบัติ  ชุมพล</v>
          </cell>
          <cell r="C535" t="str">
            <v>พ.ต.อ.สมบัติ  ชุมพล</v>
          </cell>
          <cell r="D535" t="str">
            <v>Kbank</v>
          </cell>
          <cell r="E535" t="str">
            <v>232-2-34793-9</v>
          </cell>
        </row>
        <row r="536">
          <cell r="B536" t="str">
            <v>พรชัยอะไหล่</v>
          </cell>
          <cell r="C536" t="str">
            <v>นายวันชัย  เต็มอุดมภาค</v>
          </cell>
          <cell r="D536" t="str">
            <v>Kbank</v>
          </cell>
          <cell r="E536" t="str">
            <v>460-2-03868-3</v>
          </cell>
        </row>
        <row r="537">
          <cell r="B537" t="str">
            <v>พรรณแก้ว(ขนส่ง).</v>
          </cell>
          <cell r="C537" t="str">
            <v>พรรณแก้ว มีสุข</v>
          </cell>
          <cell r="D537" t="str">
            <v>Kbank</v>
          </cell>
          <cell r="E537" t="str">
            <v>232-1-03444-9</v>
          </cell>
        </row>
        <row r="538">
          <cell r="B538" t="str">
            <v>พัฒนกิจ</v>
          </cell>
          <cell r="C538" t="str">
            <v>นายวัลลภ  ปันฉิม</v>
          </cell>
          <cell r="D538" t="str">
            <v>Kbank</v>
          </cell>
          <cell r="E538" t="str">
            <v>019-1-33310-1</v>
          </cell>
        </row>
        <row r="539">
          <cell r="B539" t="str">
            <v>พัฒนาภัณฑ์อีเล็คทริค</v>
          </cell>
          <cell r="C539" t="str">
            <v>หจก.พัฒนาภัณฑ์อีเล็คทริค</v>
          </cell>
          <cell r="D539" t="str">
            <v>SCB</v>
          </cell>
          <cell r="E539" t="str">
            <v>581-2-31339-8</v>
          </cell>
        </row>
        <row r="540">
          <cell r="B540" t="str">
            <v>พี่ชาญ</v>
          </cell>
          <cell r="C540" t="str">
            <v>นายภูริวัฒน์  บุญเอื้อ</v>
          </cell>
          <cell r="D540" t="str">
            <v>BBL</v>
          </cell>
          <cell r="E540" t="str">
            <v>527-0-25334-6</v>
          </cell>
        </row>
        <row r="541">
          <cell r="B541" t="str">
            <v>พี่ตั้ม</v>
          </cell>
          <cell r="C541" t="str">
            <v>นายสุรวุฒิ รัตนดิลก ณ ภูเก็ต</v>
          </cell>
          <cell r="D541" t="str">
            <v>Kbank</v>
          </cell>
          <cell r="E541" t="str">
            <v>232-2-29589-0</v>
          </cell>
        </row>
        <row r="542">
          <cell r="B542" t="str">
            <v>พี่ธงชัย</v>
          </cell>
          <cell r="C542" t="str">
            <v>นายธงชัย  ชุมเกื้อ</v>
          </cell>
          <cell r="D542" t="str">
            <v>Kbank</v>
          </cell>
          <cell r="E542" t="str">
            <v>054-3-60753-3</v>
          </cell>
        </row>
        <row r="543">
          <cell r="B543" t="str">
            <v>พี่น้องอะไหล่</v>
          </cell>
          <cell r="C543" t="str">
            <v>คุณณัฐชยา  ดู่ป้อง</v>
          </cell>
          <cell r="D543" t="str">
            <v>BAY</v>
          </cell>
          <cell r="E543" t="str">
            <v>088-1-78751-2</v>
          </cell>
        </row>
        <row r="544">
          <cell r="B544" t="str">
            <v xml:space="preserve">พี่น้องอะไหล่ </v>
          </cell>
          <cell r="C544" t="str">
            <v>คุณภูวดล  พุทธสำราญ</v>
          </cell>
          <cell r="D544" t="str">
            <v>BAY</v>
          </cell>
          <cell r="E544" t="str">
            <v>777-9-23999-7</v>
          </cell>
        </row>
        <row r="545">
          <cell r="B545" t="str">
            <v>พี่เบิ้ล</v>
          </cell>
          <cell r="C545" t="str">
            <v>นายกิตติพงษ์  กุลฐิติกิจ</v>
          </cell>
          <cell r="D545" t="str">
            <v>BBL</v>
          </cell>
          <cell r="E545" t="str">
            <v>527-0-10108-1</v>
          </cell>
        </row>
        <row r="546">
          <cell r="B546" t="str">
            <v xml:space="preserve">พี่เบิ้ล </v>
          </cell>
          <cell r="C546" t="str">
            <v xml:space="preserve">นายกิตติพงษ์  กุลฐิติกิจ </v>
          </cell>
          <cell r="D546" t="str">
            <v>BBL</v>
          </cell>
          <cell r="E546" t="str">
            <v>527-0-26183-6</v>
          </cell>
        </row>
        <row r="547">
          <cell r="B547" t="str">
            <v>พี่ยอด (1)</v>
          </cell>
          <cell r="C547" t="str">
            <v>นายทวีศักดิ์  ผลดี</v>
          </cell>
          <cell r="D547" t="str">
            <v>SCB</v>
          </cell>
          <cell r="E547" t="str">
            <v>302-2-80490-9</v>
          </cell>
        </row>
        <row r="548">
          <cell r="B548" t="str">
            <v>พี่ยอด (2)</v>
          </cell>
          <cell r="C548" t="str">
            <v>นายชัยยันต์  ผลดี</v>
          </cell>
          <cell r="D548" t="str">
            <v>SCB</v>
          </cell>
          <cell r="E548" t="str">
            <v>401-3-67833-3</v>
          </cell>
        </row>
        <row r="549">
          <cell r="B549" t="str">
            <v>พี่ยอด (3)</v>
          </cell>
          <cell r="C549" t="str">
            <v>น.ส.ดารารัตน์  ผลดี</v>
          </cell>
          <cell r="D549" t="str">
            <v>BBL</v>
          </cell>
          <cell r="E549" t="str">
            <v>291-0-95135-5</v>
          </cell>
        </row>
        <row r="550">
          <cell r="B550" t="str">
            <v>พี่วิช</v>
          </cell>
          <cell r="C550" t="str">
            <v>นายวิทยา  จันทร์สาคร</v>
          </cell>
          <cell r="D550" t="str">
            <v>SCB</v>
          </cell>
          <cell r="E550" t="str">
            <v>581-2-30183-8</v>
          </cell>
        </row>
        <row r="551">
          <cell r="B551" t="str">
            <v>พี่สมชาย</v>
          </cell>
          <cell r="C551" t="str">
            <v>นายสมชาย มานะพิทักษ์พงษ์</v>
          </cell>
          <cell r="D551" t="str">
            <v>SCB</v>
          </cell>
          <cell r="E551" t="str">
            <v>281-2-68060-8</v>
          </cell>
        </row>
        <row r="552">
          <cell r="B552" t="str">
            <v xml:space="preserve">พี่สมชาย </v>
          </cell>
          <cell r="C552" t="str">
            <v>นายสมชาย  มานะพิทักษ์พงษ์</v>
          </cell>
          <cell r="D552" t="str">
            <v>BBL</v>
          </cell>
          <cell r="E552" t="str">
            <v>911-0-01462-9</v>
          </cell>
        </row>
        <row r="553">
          <cell r="B553" t="str">
            <v>พี่สาโรจน์</v>
          </cell>
          <cell r="C553" t="str">
            <v>นายสาโรจน์  จินดาพรหม</v>
          </cell>
          <cell r="D553" t="str">
            <v>SCB</v>
          </cell>
          <cell r="E553" t="str">
            <v>402-7-96663-9</v>
          </cell>
        </row>
        <row r="554">
          <cell r="B554" t="str">
            <v>พี่สาวโกจ่อจ่อ</v>
          </cell>
          <cell r="C554" t="str">
            <v>MS TIN TIN AYE</v>
          </cell>
          <cell r="D554" t="str">
            <v>BBL</v>
          </cell>
          <cell r="E554" t="str">
            <v>106-4-31039-2</v>
          </cell>
        </row>
        <row r="555">
          <cell r="B555" t="str">
            <v>พี่สุ(MAX OFF)</v>
          </cell>
          <cell r="C555" t="str">
            <v>สุธาทิพย์ ผุยทุอา</v>
          </cell>
          <cell r="D555" t="str">
            <v>SCB</v>
          </cell>
          <cell r="E555" t="str">
            <v>407-0-56395-1</v>
          </cell>
        </row>
        <row r="556">
          <cell r="B556" t="str">
            <v>พี่เสง</v>
          </cell>
          <cell r="C556" t="str">
            <v>นายปิยวุฒิ ลิ่มศิลา</v>
          </cell>
          <cell r="D556" t="str">
            <v>Kbank</v>
          </cell>
          <cell r="E556" t="str">
            <v>460-2-07403-5</v>
          </cell>
        </row>
        <row r="557">
          <cell r="B557" t="str">
            <v xml:space="preserve">พี่เสง </v>
          </cell>
          <cell r="C557" t="str">
            <v xml:space="preserve">นายปิยวุฒิ ลิ่มศิลา </v>
          </cell>
          <cell r="D557" t="str">
            <v>Kbank</v>
          </cell>
          <cell r="E557" t="str">
            <v>758-2-04149-7</v>
          </cell>
        </row>
        <row r="558">
          <cell r="B558" t="str">
            <v>พี่เสง(KPS-ห้องเย็น)</v>
          </cell>
          <cell r="C558" t="str">
            <v xml:space="preserve">เงินสดย่อย KAS โดยนายปิยวุฒิ  ลิ่มศิลา </v>
          </cell>
          <cell r="D558" t="str">
            <v>Kbank</v>
          </cell>
          <cell r="E558" t="str">
            <v>228-2-49098-9</v>
          </cell>
        </row>
        <row r="559">
          <cell r="B559" t="str">
            <v>พี่เสริฐ</v>
          </cell>
          <cell r="C559" t="str">
            <v>นายประเสริฐ อุเสน</v>
          </cell>
          <cell r="D559" t="str">
            <v>BBL</v>
          </cell>
          <cell r="E559" t="str">
            <v>527-0-14931-2</v>
          </cell>
        </row>
        <row r="560">
          <cell r="B560" t="str">
            <v>พี่หมู</v>
          </cell>
          <cell r="C560" t="str">
            <v>นายวีระวัฒน์ แก้วนิ่ม</v>
          </cell>
          <cell r="D560" t="str">
            <v>P-Pay</v>
          </cell>
          <cell r="E560" t="str">
            <v>083-876-8511</v>
          </cell>
        </row>
        <row r="561">
          <cell r="B561" t="str">
            <v xml:space="preserve">พี่หมู </v>
          </cell>
          <cell r="C561" t="str">
            <v>นายวีระวัฒน์  แก้วนิ่ม</v>
          </cell>
          <cell r="D561" t="str">
            <v>SCB</v>
          </cell>
          <cell r="E561" t="str">
            <v>100-2-04954-3</v>
          </cell>
        </row>
        <row r="562">
          <cell r="B562" t="str">
            <v>พี่อี๊ด</v>
          </cell>
          <cell r="C562" t="str">
            <v>นางศตพร พิมแช่ม</v>
          </cell>
          <cell r="D562" t="str">
            <v>SCB</v>
          </cell>
          <cell r="E562" t="str">
            <v>402-7-92835-6</v>
          </cell>
        </row>
        <row r="563">
          <cell r="B563" t="str">
            <v xml:space="preserve">พี่อี๊ด </v>
          </cell>
          <cell r="C563" t="str">
            <v>นางศตพร  พิมแช่ม</v>
          </cell>
          <cell r="D563" t="str">
            <v>BBL</v>
          </cell>
          <cell r="E563" t="str">
            <v>527-0-14949-4</v>
          </cell>
        </row>
        <row r="564">
          <cell r="B564" t="str">
            <v>พี่โอ๋</v>
          </cell>
          <cell r="C564" t="str">
            <v>น.ส.โสรญา  เรืองฤทธิ์</v>
          </cell>
          <cell r="D564" t="str">
            <v>BBL</v>
          </cell>
          <cell r="E564" t="str">
            <v>527-0-17988-9</v>
          </cell>
        </row>
        <row r="565">
          <cell r="B565" t="str">
            <v>พูนทรัพย์</v>
          </cell>
          <cell r="C565" t="str">
            <v>นายศุภชัย ใสสอาด</v>
          </cell>
          <cell r="D565" t="str">
            <v>BBL</v>
          </cell>
          <cell r="E565" t="str">
            <v>527-0-26845-0</v>
          </cell>
        </row>
        <row r="566">
          <cell r="B566" t="str">
            <v>แพอัจฉรา</v>
          </cell>
          <cell r="C566" t="str">
            <v>บจ.เป็นไท ไอซ์ ซัพพลาย</v>
          </cell>
          <cell r="D566" t="str">
            <v>Kbank</v>
          </cell>
          <cell r="E566" t="str">
            <v>460-2-03913-2</v>
          </cell>
        </row>
        <row r="567">
          <cell r="B567" t="str">
            <v>แฟนโกหย่ง</v>
          </cell>
          <cell r="C567" t="str">
            <v>MRS. THI THI HTWE</v>
          </cell>
          <cell r="D567" t="str">
            <v>BBL</v>
          </cell>
          <cell r="E567" t="str">
            <v>101-7-91365-6</v>
          </cell>
        </row>
        <row r="568">
          <cell r="B568" t="str">
            <v>ภูวเดชอ๊อกซิเจน</v>
          </cell>
          <cell r="C568" t="str">
            <v>นายภูวเดช   วีรสถาพร</v>
          </cell>
          <cell r="D568" t="str">
            <v>Kbank</v>
          </cell>
          <cell r="E568" t="str">
            <v xml:space="preserve">460-2-06034-4  </v>
          </cell>
        </row>
        <row r="569">
          <cell r="B569" t="str">
            <v>มงคลพรหมระนอง</v>
          </cell>
          <cell r="C569" t="str">
            <v>นายปพนพรหม  รุจินิรันดร์</v>
          </cell>
          <cell r="D569" t="str">
            <v>BBL</v>
          </cell>
          <cell r="E569" t="str">
            <v>291-0-78656-1</v>
          </cell>
        </row>
        <row r="570">
          <cell r="B570" t="str">
            <v xml:space="preserve">มงคลพรหมระนอง </v>
          </cell>
          <cell r="C570" t="str">
            <v>หจก.มงคลพรหมระนอง</v>
          </cell>
          <cell r="D570" t="str">
            <v>อิสลาม</v>
          </cell>
          <cell r="E570" t="str">
            <v>064-6-00013-6</v>
          </cell>
        </row>
        <row r="571">
          <cell r="B571" t="str">
            <v>มะขามภูทับเบิก เซอร์วิส</v>
          </cell>
          <cell r="C571" t="str">
            <v>นายวินัยธร  บริบูรณ์</v>
          </cell>
          <cell r="D571" t="str">
            <v>Kbank</v>
          </cell>
          <cell r="E571" t="str">
            <v>012-8-20648-5</v>
          </cell>
        </row>
        <row r="572">
          <cell r="B572" t="str">
            <v>มานิตย์ระนองการเกษตร KBank</v>
          </cell>
          <cell r="C572" t="str">
            <v>คุณกุลนิษฐ์   ตันกุลธร</v>
          </cell>
          <cell r="D572" t="str">
            <v>Kbank</v>
          </cell>
          <cell r="E572" t="str">
            <v>232-2-27286-6</v>
          </cell>
        </row>
        <row r="573">
          <cell r="B573" t="str">
            <v>มานิตย์ระนองการเกษตร SCB</v>
          </cell>
          <cell r="C573" t="str">
            <v>คุณกุลนิษฐ์  ตันกุลธร</v>
          </cell>
          <cell r="D573" t="str">
            <v>SCB</v>
          </cell>
          <cell r="E573" t="str">
            <v>581-2-35944-1</v>
          </cell>
        </row>
        <row r="574">
          <cell r="B574" t="str">
            <v>มุกอะไหล่</v>
          </cell>
          <cell r="C574" t="str">
            <v>น.ส.วนิดา  แซ่ภู่</v>
          </cell>
          <cell r="D574" t="str">
            <v>BBL</v>
          </cell>
          <cell r="E574" t="str">
            <v>527-0-26373-3</v>
          </cell>
        </row>
        <row r="575">
          <cell r="B575" t="str">
            <v xml:space="preserve">มุกอะไหล่ </v>
          </cell>
          <cell r="C575" t="str">
            <v xml:space="preserve">น.ส.วนิดา  แซ่ภู่ </v>
          </cell>
          <cell r="D575" t="str">
            <v>SCB</v>
          </cell>
          <cell r="E575" t="str">
            <v>403-9-44593-8</v>
          </cell>
        </row>
        <row r="576">
          <cell r="B576" t="str">
            <v xml:space="preserve">มูลนิธิโรงเจเต๋าบ้อเก็ง </v>
          </cell>
          <cell r="C576" t="str">
            <v xml:space="preserve">มูลนิธิโรงเจเต๋าบ้อเก็ง </v>
          </cell>
          <cell r="D576" t="str">
            <v>Kbank</v>
          </cell>
          <cell r="E576" t="str">
            <v>553-2-11391-3</v>
          </cell>
        </row>
        <row r="577">
          <cell r="B577" t="str">
            <v>ยี่เหลง</v>
          </cell>
          <cell r="C577" t="str">
            <v>น.ส.เจษฎา ลิ่มศิลา</v>
          </cell>
          <cell r="D577" t="str">
            <v>BBL</v>
          </cell>
          <cell r="E577" t="str">
            <v>870-7-02587-3</v>
          </cell>
        </row>
        <row r="578">
          <cell r="B578" t="str">
            <v>ยี่เอ้ง</v>
          </cell>
          <cell r="C578" t="str">
            <v>น.ส.วลีวรรณ  เพชรไฝ</v>
          </cell>
          <cell r="D578" t="str">
            <v>BBL</v>
          </cell>
          <cell r="E578" t="str">
            <v>180-7-05838-1</v>
          </cell>
        </row>
        <row r="579">
          <cell r="B579" t="str">
            <v>ร.อ.ปรีชา  น้อยกาญจนะ</v>
          </cell>
          <cell r="C579" t="str">
            <v>ร.อ.ปรีชา  น้อยกาญจนะ</v>
          </cell>
          <cell r="D579" t="str">
            <v>P-Pay</v>
          </cell>
          <cell r="E579" t="str">
            <v>092-273-6548</v>
          </cell>
        </row>
        <row r="580">
          <cell r="B580" t="str">
            <v>รร.น้ำใสเขาสวย</v>
          </cell>
          <cell r="C580" t="str">
            <v>นางจีระวรรณ  เศวตะดุล</v>
          </cell>
          <cell r="D580" t="str">
            <v>QR</v>
          </cell>
          <cell r="E580" t="str">
            <v>084-249-6959</v>
          </cell>
        </row>
        <row r="581">
          <cell r="B581" t="str">
            <v>รวย รวย บริการ</v>
          </cell>
          <cell r="C581" t="str">
            <v>โดยนายเมธา วงษ์นิติรัตน์</v>
          </cell>
          <cell r="D581" t="str">
            <v>Kbank</v>
          </cell>
          <cell r="E581" t="str">
            <v>113-2-26213-2</v>
          </cell>
        </row>
        <row r="582">
          <cell r="B582" t="str">
            <v xml:space="preserve">รวย รวย บริการ </v>
          </cell>
          <cell r="C582" t="str">
            <v>นายเมธา วงษ์นิติรัตน์</v>
          </cell>
          <cell r="D582" t="str">
            <v>BBL</v>
          </cell>
          <cell r="E582" t="str">
            <v>534-0-06188-5</v>
          </cell>
        </row>
        <row r="583">
          <cell r="B583" t="str">
            <v>ระนองแก๊ส</v>
          </cell>
          <cell r="C583" t="str">
            <v>นายเมธา วงษ์นิติรัตน์</v>
          </cell>
          <cell r="D583" t="str">
            <v>SCB</v>
          </cell>
          <cell r="E583" t="str">
            <v>581-2-13173-8</v>
          </cell>
        </row>
        <row r="584">
          <cell r="B584" t="str">
            <v>ระนองเคหะภัณฑ์</v>
          </cell>
          <cell r="C584" t="str">
            <v>ระนองเคหะภัณฑ์</v>
          </cell>
          <cell r="D584" t="str">
            <v>Kbank</v>
          </cell>
          <cell r="E584" t="str">
            <v>232-2-22624-4</v>
          </cell>
        </row>
        <row r="585">
          <cell r="B585" t="str">
            <v>ระนองช่างเจียร์</v>
          </cell>
          <cell r="C585" t="str">
            <v>คุณทนงค์  สุขสวัสดิ์</v>
          </cell>
          <cell r="D585" t="str">
            <v>BBL</v>
          </cell>
          <cell r="E585" t="str">
            <v>527-0-21770-5</v>
          </cell>
        </row>
        <row r="586">
          <cell r="B586" t="str">
            <v>ระนองใบจักร</v>
          </cell>
          <cell r="C586" t="str">
            <v>นายฐาเดช ก้องพัฒนางกูร</v>
          </cell>
          <cell r="D586" t="str">
            <v>Kbank</v>
          </cell>
          <cell r="E586" t="str">
            <v>232-2-37294-1</v>
          </cell>
        </row>
        <row r="587">
          <cell r="B587" t="str">
            <v xml:space="preserve">ระนองใบจักร </v>
          </cell>
          <cell r="C587" t="str">
            <v>นายฐาเดช  ก้องพัฒนางกูร</v>
          </cell>
          <cell r="D587" t="str">
            <v>BBL</v>
          </cell>
          <cell r="E587" t="str">
            <v>291-0-70288-1</v>
          </cell>
        </row>
        <row r="588">
          <cell r="B588" t="str">
            <v>ระนองพริ้นติ้ง</v>
          </cell>
          <cell r="C588" t="str">
            <v>นายกิตติศักดิ์ พูลศรี</v>
          </cell>
          <cell r="D588" t="str">
            <v>Kbank</v>
          </cell>
          <cell r="E588" t="str">
            <v>232-2-33395-4</v>
          </cell>
        </row>
        <row r="589">
          <cell r="B589" t="str">
            <v>ระนองลิเดอร์</v>
          </cell>
          <cell r="C589" t="str">
            <v>นางสาวิตรี ตั๋นกุญชร</v>
          </cell>
          <cell r="D589" t="str">
            <v>BBL</v>
          </cell>
          <cell r="E589" t="str">
            <v>527-0-17847-7</v>
          </cell>
        </row>
        <row r="590">
          <cell r="B590" t="str">
            <v xml:space="preserve">ระนองลิเดอร์ </v>
          </cell>
          <cell r="C590" t="str">
            <v>นางสาวิตรี  ตั๋นกุญชร</v>
          </cell>
          <cell r="D590" t="str">
            <v>BAY</v>
          </cell>
          <cell r="E590" t="str">
            <v>161-1-42707-6</v>
          </cell>
        </row>
        <row r="591">
          <cell r="B591" t="str">
            <v>ระนองลิเดอร์(โกเสียง)</v>
          </cell>
          <cell r="C591" t="str">
            <v>นายไพทูลย์ ตั๋นกุญชร</v>
          </cell>
          <cell r="D591" t="str">
            <v>BBL</v>
          </cell>
          <cell r="E591" t="str">
            <v>527-0-18032-5</v>
          </cell>
        </row>
        <row r="592">
          <cell r="B592" t="str">
            <v>ระนองออฟเซ็ท</v>
          </cell>
          <cell r="C592" t="str">
            <v>นายพงศ์พันธ์  จันทร์บูรณะศิริ</v>
          </cell>
          <cell r="D592" t="str">
            <v>GSB</v>
          </cell>
          <cell r="E592" t="str">
            <v>020-2-2015571-5</v>
          </cell>
        </row>
        <row r="593">
          <cell r="B593" t="str">
            <v>ระนองแฮดเดอร์</v>
          </cell>
          <cell r="C593" t="str">
            <v>นายชัยวัฒน์  รักเจริญกิจวิโชติ</v>
          </cell>
          <cell r="D593" t="str">
            <v>Kbank</v>
          </cell>
          <cell r="E593" t="str">
            <v>232-1-04085-6</v>
          </cell>
        </row>
        <row r="594">
          <cell r="B594" t="str">
            <v>รัตนการพิมพ์</v>
          </cell>
          <cell r="C594" t="str">
            <v>คุณศศิกานต์  รัตนดิลก ณ ภูเก็ต</v>
          </cell>
          <cell r="D594" t="str">
            <v>SCB</v>
          </cell>
          <cell r="E594" t="str">
            <v>581-2-14282-8</v>
          </cell>
        </row>
        <row r="595">
          <cell r="B595" t="str">
            <v>รัตนรังสรรค์เทรล โดยร.25 พัน2</v>
          </cell>
          <cell r="C595" t="str">
            <v>รัตนรังสรรค์เทรล โดยร.25 พัน2</v>
          </cell>
          <cell r="D595" t="str">
            <v>QR</v>
          </cell>
          <cell r="E595" t="str">
            <v>QR Code</v>
          </cell>
        </row>
        <row r="596">
          <cell r="B596" t="str">
            <v>ร้านขายไก่</v>
          </cell>
          <cell r="C596" t="str">
            <v>นางเสาวนีย์  นาคสวัสดิ์</v>
          </cell>
          <cell r="D596" t="str">
            <v>SCB</v>
          </cell>
          <cell r="E596" t="str">
            <v>581-3-02267-3</v>
          </cell>
        </row>
        <row r="597">
          <cell r="B597" t="str">
            <v>ร้านขายผลไม้</v>
          </cell>
          <cell r="C597" t="str">
            <v>นายชัยสิทธิ์  จันทร์ศิริ</v>
          </cell>
          <cell r="D597" t="str">
            <v>BBL</v>
          </cell>
          <cell r="E597" t="str">
            <v>291-0-85766-9</v>
          </cell>
        </row>
        <row r="598">
          <cell r="B598" t="str">
            <v>ร้านขายผัก</v>
          </cell>
          <cell r="C598" t="str">
            <v>น.ส.ละออง ขุนทิพย์</v>
          </cell>
          <cell r="D598" t="str">
            <v>KTB</v>
          </cell>
          <cell r="E598" t="str">
            <v>361-0-274549</v>
          </cell>
        </row>
        <row r="599">
          <cell r="B599" t="str">
            <v>ร้านขายมาม่า</v>
          </cell>
          <cell r="C599" t="str">
            <v>น.ส.นิตย์ชนก  อำพันธุ์สุข</v>
          </cell>
          <cell r="D599" t="str">
            <v>SCB</v>
          </cell>
          <cell r="E599" t="str">
            <v>581-2-25366-1</v>
          </cell>
        </row>
        <row r="600">
          <cell r="B600" t="str">
            <v xml:space="preserve">ร้านจ๊ะเอ๋  </v>
          </cell>
          <cell r="C600" t="str">
            <v>นางศิริพร  กิตติโสภณกุล</v>
          </cell>
          <cell r="D600" t="str">
            <v>Kbank</v>
          </cell>
          <cell r="E600" t="str">
            <v>007-1-90064-9</v>
          </cell>
        </row>
        <row r="601">
          <cell r="B601" t="str">
            <v>ร้านช่างนาย</v>
          </cell>
          <cell r="C601" t="str">
            <v>นายวรเดช  ยอดบุนอก</v>
          </cell>
          <cell r="D601" t="str">
            <v>TTB</v>
          </cell>
          <cell r="E601" t="str">
            <v>429-2-40905-1</v>
          </cell>
        </row>
        <row r="602">
          <cell r="B602" t="str">
            <v>ร้านช่างนาย.</v>
          </cell>
          <cell r="C602" t="str">
            <v>นายวรเดช ยอดบุนอก</v>
          </cell>
          <cell r="D602" t="str">
            <v>BBL</v>
          </cell>
          <cell r="E602" t="str">
            <v>527-0-25997-0</v>
          </cell>
        </row>
        <row r="603">
          <cell r="B603" t="str">
            <v xml:space="preserve">ร้านดวงดี  </v>
          </cell>
          <cell r="C603" t="str">
            <v>นายอัฐพงษ์ อัครจิตตานนท์</v>
          </cell>
          <cell r="D603" t="str">
            <v>Kbank</v>
          </cell>
          <cell r="E603" t="str">
            <v>163-3-30118-9</v>
          </cell>
        </row>
        <row r="604">
          <cell r="B604" t="str">
            <v>ร้านดวงดี</v>
          </cell>
          <cell r="C604" t="str">
            <v>นายอัฐพงษ์  อัครจิตตานนท์</v>
          </cell>
          <cell r="D604" t="str">
            <v>Kbank</v>
          </cell>
          <cell r="E604" t="str">
            <v>232-2-21666-4</v>
          </cell>
        </row>
        <row r="605">
          <cell r="B605" t="str">
            <v xml:space="preserve">ร้านดวงดี </v>
          </cell>
          <cell r="C605" t="str">
            <v>นายอัฐพงษ์   อัครจิตตานนท์</v>
          </cell>
          <cell r="D605" t="str">
            <v>SCB</v>
          </cell>
          <cell r="E605" t="str">
            <v>403-4-53542-9</v>
          </cell>
        </row>
        <row r="606">
          <cell r="B606" t="str">
            <v>ร้านดี.บี.แมชชีน</v>
          </cell>
          <cell r="C606" t="str">
            <v>ร้านดี.บี.แมชชีนโดยนายวิโรจน์ โสตถินิรันดร</v>
          </cell>
          <cell r="D606" t="str">
            <v>Kbank</v>
          </cell>
          <cell r="E606" t="str">
            <v>008-3-31616-0</v>
          </cell>
        </row>
        <row r="607">
          <cell r="B607" t="str">
            <v>ร้านนพคุณดีเซล</v>
          </cell>
          <cell r="C607" t="str">
            <v>คุณจีรวรรณ  เพ็ชรวงศ์</v>
          </cell>
          <cell r="D607" t="str">
            <v>Kbank</v>
          </cell>
          <cell r="E607" t="str">
            <v>113-2-36854-2</v>
          </cell>
        </row>
        <row r="608">
          <cell r="B608" t="str">
            <v>ร้านเพื่อนอิเล็กทรอนิกส์</v>
          </cell>
          <cell r="C608" t="str">
            <v>นายประจวบ จินดาพงษ์</v>
          </cell>
          <cell r="D608" t="str">
            <v>SCB</v>
          </cell>
          <cell r="E608" t="str">
            <v>402-8-15902-3</v>
          </cell>
        </row>
        <row r="609">
          <cell r="B609" t="str">
            <v>ร้านแฟ้บ</v>
          </cell>
          <cell r="C609" t="str">
            <v>น.ส.นิตย์ชนก อำพันธุ์สุข</v>
          </cell>
          <cell r="D609" t="str">
            <v>SCB</v>
          </cell>
          <cell r="E609" t="str">
            <v>581-2-25366-1</v>
          </cell>
        </row>
        <row r="610">
          <cell r="B610" t="str">
            <v>ร้านภักดีเครื่องเย็น</v>
          </cell>
          <cell r="C610" t="str">
            <v>ทัศนี ธีระเดช</v>
          </cell>
          <cell r="D610" t="str">
            <v>SCB</v>
          </cell>
          <cell r="E610" t="str">
            <v>434-0-15846-0</v>
          </cell>
        </row>
        <row r="611">
          <cell r="B611" t="str">
            <v>ร้านมงคลอิควิปเม้น</v>
          </cell>
          <cell r="C611" t="str">
            <v>นายก้องเกียรติ  มงคล</v>
          </cell>
          <cell r="D611" t="str">
            <v>BAY</v>
          </cell>
          <cell r="E611" t="str">
            <v>161-1-27627-0</v>
          </cell>
        </row>
        <row r="612">
          <cell r="B612" t="str">
            <v>ร้านมีตัง</v>
          </cell>
          <cell r="C612" t="str">
            <v>นายพงษ์พัฒน์ พิพัฒนพรวรกูล</v>
          </cell>
          <cell r="D612" t="str">
            <v>TTB</v>
          </cell>
          <cell r="E612" t="str">
            <v>310-2-69536-2</v>
          </cell>
        </row>
        <row r="613">
          <cell r="B613" t="str">
            <v>ร้านเอส เอ อะไหล่ยนต์</v>
          </cell>
          <cell r="C613" t="str">
            <v>คุณสุชาดา  อริยะวุฒิพันธ์</v>
          </cell>
          <cell r="D613" t="str">
            <v>BAY</v>
          </cell>
          <cell r="E613" t="str">
            <v>062-4-43169-3</v>
          </cell>
        </row>
        <row r="614">
          <cell r="B614" t="str">
            <v xml:space="preserve">เรืองการช่าง </v>
          </cell>
          <cell r="C614" t="str">
            <v>น.ส.จิรวัฒน์ เรืองช่วย</v>
          </cell>
          <cell r="D614" t="str">
            <v>Kbank</v>
          </cell>
          <cell r="E614" t="str">
            <v>460-2-05492-1</v>
          </cell>
        </row>
        <row r="615">
          <cell r="B615" t="str">
            <v>เรืองการช่าง</v>
          </cell>
          <cell r="C615" t="str">
            <v>นายอานนท์ เรืองช่วย</v>
          </cell>
          <cell r="D615" t="str">
            <v>Kbank</v>
          </cell>
          <cell r="E615" t="str">
            <v>131-3-30485-6</v>
          </cell>
        </row>
        <row r="616">
          <cell r="B616" t="str">
            <v>แร่นอง(ขนส่ง)</v>
          </cell>
          <cell r="C616" t="str">
            <v>นางจินตนา  สุดภักดี</v>
          </cell>
          <cell r="D616" t="str">
            <v>SCB</v>
          </cell>
          <cell r="E616" t="str">
            <v>581-2-08647-0</v>
          </cell>
        </row>
        <row r="617">
          <cell r="B617" t="str">
            <v xml:space="preserve">โรงกลึงช่างสุข- ปากคลอง </v>
          </cell>
          <cell r="C617" t="str">
            <v>อรจิดาภา ใจเอื้อ</v>
          </cell>
          <cell r="D617" t="str">
            <v>KBank</v>
          </cell>
          <cell r="E617" t="str">
            <v>184-3-68654-7</v>
          </cell>
        </row>
        <row r="618">
          <cell r="B618" t="str">
            <v>โรงกลึงช่างสุข-ปากคลอง</v>
          </cell>
          <cell r="C618" t="str">
            <v>นายสุวิจักขณ์  ใจเอื้อ</v>
          </cell>
          <cell r="D618" t="str">
            <v>KBank</v>
          </cell>
          <cell r="E618" t="str">
            <v>460-2-08061-2</v>
          </cell>
        </row>
        <row r="619">
          <cell r="B619" t="str">
            <v xml:space="preserve">โรงกลึงช่างสุข-ปากคลอง </v>
          </cell>
          <cell r="C619" t="str">
            <v>น.ส.ธรกนก  ใจเอื้อ</v>
          </cell>
          <cell r="D619" t="str">
            <v>KBank</v>
          </cell>
          <cell r="E619" t="str">
            <v>460-2-07607-0</v>
          </cell>
        </row>
        <row r="620">
          <cell r="B620" t="str">
            <v xml:space="preserve">โรงกลึงช่างสุข - ปากคลอง </v>
          </cell>
          <cell r="C620" t="str">
            <v xml:space="preserve">นายสุวิจักขณ์  ใจเอื้อ </v>
          </cell>
          <cell r="D620" t="str">
            <v>GSB</v>
          </cell>
          <cell r="E620" t="str">
            <v>020-4-0963146-0</v>
          </cell>
        </row>
        <row r="621">
          <cell r="B621" t="str">
            <v>โรงกลึงหมิ่นเฮง</v>
          </cell>
          <cell r="C621" t="str">
            <v>นายทินกรและนายกำจร พิพัฒนกุลชัย</v>
          </cell>
          <cell r="D621" t="str">
            <v>Kbank</v>
          </cell>
          <cell r="E621" t="str">
            <v>027-2-85667-2</v>
          </cell>
        </row>
        <row r="622">
          <cell r="B622" t="str">
            <v>โรงงานน้ำKH</v>
          </cell>
          <cell r="C622" t="str">
            <v>RONGNGANNAMKH</v>
          </cell>
          <cell r="D622" t="str">
            <v>BBL</v>
          </cell>
          <cell r="E622" t="str">
            <v>783-3-00083-4</v>
          </cell>
        </row>
        <row r="623">
          <cell r="B623" t="str">
            <v>โรงเจียร์ อันดามัน ระนอง</v>
          </cell>
          <cell r="C623" t="str">
            <v>คุณน้องรัก  สมแก้ว</v>
          </cell>
          <cell r="D623" t="str">
            <v>Kbank</v>
          </cell>
          <cell r="E623" t="str">
            <v>075-3-78436-5</v>
          </cell>
        </row>
        <row r="624">
          <cell r="B624" t="str">
            <v>โรงน้ำแข็งเจริญชัย</v>
          </cell>
          <cell r="C624" t="str">
            <v>คุณธนู ทักษิณาวงศ์</v>
          </cell>
          <cell r="D624" t="str">
            <v>SCB</v>
          </cell>
          <cell r="E624" t="str">
            <v>416-0-80775-2</v>
          </cell>
        </row>
        <row r="625">
          <cell r="B625" t="str">
            <v>โรงน้ำแข็งอดิศร</v>
          </cell>
          <cell r="C625" t="str">
            <v>นายฐนโรจน์  จงประเสริฐสิริ</v>
          </cell>
          <cell r="D625" t="str">
            <v>KTB</v>
          </cell>
          <cell r="E625" t="str">
            <v>806-0-50868-7</v>
          </cell>
        </row>
        <row r="626">
          <cell r="B626" t="str">
            <v>ลี๊เซียฮวด</v>
          </cell>
          <cell r="C626" t="str">
            <v>ลี๊เซียฮวด</v>
          </cell>
          <cell r="D626" t="str">
            <v>BBL</v>
          </cell>
          <cell r="E626" t="str">
            <v>112-0-29398-8</v>
          </cell>
        </row>
        <row r="627">
          <cell r="B627" t="str">
            <v>ลุงเล็ก</v>
          </cell>
          <cell r="C627" t="str">
            <v>นายพิสิฎฐ  เอี่ยมองค์</v>
          </cell>
          <cell r="D627" t="str">
            <v>Kbank</v>
          </cell>
          <cell r="E627" t="str">
            <v>232-2-05068-5</v>
          </cell>
        </row>
        <row r="628">
          <cell r="B628" t="str">
            <v>เลิศสยามสตีล</v>
          </cell>
          <cell r="C628" t="str">
            <v>คุณสุวรรณา  วงศ์ดีเลิศสกุล</v>
          </cell>
          <cell r="D628" t="str">
            <v>BBL</v>
          </cell>
          <cell r="E628" t="str">
            <v>195-3-02044-1</v>
          </cell>
        </row>
        <row r="629">
          <cell r="B629" t="str">
            <v>โลหะไพโรจน์</v>
          </cell>
          <cell r="C629" t="str">
            <v>นายสุรินทร์ เจียรวนาลี</v>
          </cell>
          <cell r="D629" t="str">
            <v>P-Pay</v>
          </cell>
          <cell r="E629" t="str">
            <v>081-893-0051</v>
          </cell>
        </row>
        <row r="630">
          <cell r="B630" t="str">
            <v xml:space="preserve">โลหะไพโรจน์ </v>
          </cell>
          <cell r="C630" t="str">
            <v>นายสุรินทร์  เจียรวนาลี</v>
          </cell>
          <cell r="D630" t="str">
            <v>BBL</v>
          </cell>
          <cell r="E630" t="str">
            <v>527-0-25491-4</v>
          </cell>
        </row>
        <row r="631">
          <cell r="B631" t="str">
            <v>วัช (LB)</v>
          </cell>
          <cell r="C631" t="str">
            <v>นายวีระ จุลเสนีย์ชร</v>
          </cell>
          <cell r="D631" t="str">
            <v>Kbank</v>
          </cell>
          <cell r="E631" t="str">
            <v>460-2-09533-4</v>
          </cell>
        </row>
        <row r="632">
          <cell r="B632" t="str">
            <v xml:space="preserve">วัช (LB) </v>
          </cell>
          <cell r="C632" t="str">
            <v>นายวีระ  จุลเสนีย์ชร</v>
          </cell>
          <cell r="D632" t="str">
            <v>BBL</v>
          </cell>
          <cell r="E632" t="str">
            <v>527-0-24094-7</v>
          </cell>
        </row>
        <row r="633">
          <cell r="B633" t="str">
            <v>วัด บางริ้นสามัคคีธรรม</v>
          </cell>
          <cell r="C633" t="str">
            <v>วัด บางริ้นสามัคคีธรรม</v>
          </cell>
          <cell r="D633" t="str">
            <v>KTB</v>
          </cell>
          <cell r="E633" t="str">
            <v>361-0-46804-1</v>
          </cell>
        </row>
        <row r="634">
          <cell r="B634" t="str">
            <v>วัดสุวรรณคีรีวิหาร</v>
          </cell>
          <cell r="C634" t="str">
            <v>วัดสุวรรณคีรีวิหาร</v>
          </cell>
          <cell r="D634" t="str">
            <v>Kbank</v>
          </cell>
          <cell r="E634" t="str">
            <v>083-8-15079-9</v>
          </cell>
        </row>
        <row r="635">
          <cell r="B635" t="str">
            <v>วาสนาอดิศร</v>
          </cell>
          <cell r="C635" t="str">
            <v>นายเอื้ออังกูร  จงประเสริฐสิริ</v>
          </cell>
          <cell r="D635" t="str">
            <v>TTB</v>
          </cell>
          <cell r="E635" t="str">
            <v>429-2-43120-4</v>
          </cell>
        </row>
        <row r="636">
          <cell r="B636" t="str">
            <v xml:space="preserve">วาสนาอดิศร </v>
          </cell>
          <cell r="C636" t="str">
            <v>นายฐนโรจน์   จงประเสริฐสิริ</v>
          </cell>
          <cell r="D636" t="str">
            <v>TTB</v>
          </cell>
          <cell r="E636" t="str">
            <v>791-2-03788-9</v>
          </cell>
        </row>
        <row r="637">
          <cell r="B637" t="str">
            <v xml:space="preserve">วาสนาอดิศร  </v>
          </cell>
          <cell r="C637" t="str">
            <v>บจ.ล่ำซำดีโลจิสติก</v>
          </cell>
          <cell r="D637" t="str">
            <v>TTB</v>
          </cell>
          <cell r="E637" t="str">
            <v>791-2-05618-6</v>
          </cell>
        </row>
        <row r="638">
          <cell r="B638" t="str">
            <v>วิ่งพักตับระนอง</v>
          </cell>
          <cell r="C638" t="str">
            <v>วิ่งพักตับระนอง โดยคุณสุชีพ พัฒน์ทอง</v>
          </cell>
          <cell r="D638" t="str">
            <v>KTB</v>
          </cell>
          <cell r="E638" t="str">
            <v>806-0-69087-6</v>
          </cell>
        </row>
        <row r="639">
          <cell r="B639" t="str">
            <v>ศิริมงคล</v>
          </cell>
          <cell r="C639" t="str">
            <v>บจ.ศิริมงคลโลจิสติกส์</v>
          </cell>
          <cell r="D639" t="str">
            <v>BBL</v>
          </cell>
          <cell r="E639" t="str">
            <v>534-0-12899-9</v>
          </cell>
        </row>
        <row r="640">
          <cell r="B640" t="str">
            <v>ส.การดีเซล</v>
          </cell>
          <cell r="C640" t="str">
            <v>นายทิวา และนายธนรัฎฐกรณ์ ตันเสถียร</v>
          </cell>
          <cell r="D640" t="str">
            <v>Kbank</v>
          </cell>
          <cell r="E640" t="str">
            <v>025-1-65772-6</v>
          </cell>
        </row>
        <row r="641">
          <cell r="B641" t="str">
            <v>ส.ค้าเหล็ก</v>
          </cell>
          <cell r="C641" t="str">
            <v>ลักษรินทร์  จันทร์แสงวิเศษ</v>
          </cell>
          <cell r="D641" t="str">
            <v>BBL</v>
          </cell>
          <cell r="E641" t="str">
            <v>527-020258-2</v>
          </cell>
        </row>
        <row r="642">
          <cell r="B642" t="str">
            <v>สภาวัฒนธรรมจังหวัดระนอง</v>
          </cell>
          <cell r="C642" t="str">
            <v>สภาวัฒนธรรมจังหวัดระนอง</v>
          </cell>
          <cell r="D642" t="str">
            <v>KTB</v>
          </cell>
          <cell r="E642" t="str">
            <v>806-1-40403-6</v>
          </cell>
        </row>
        <row r="643">
          <cell r="B643" t="str">
            <v>สมัยการค้า</v>
          </cell>
          <cell r="C643" t="str">
            <v>นายสมศักดิ์ ปรัชญาวรากร</v>
          </cell>
          <cell r="D643" t="str">
            <v>Kbank</v>
          </cell>
          <cell r="E643" t="str">
            <v>232-2-29350-2</v>
          </cell>
        </row>
        <row r="644">
          <cell r="B644" t="str">
            <v>สมาคมผู้ผลิตปลาป่นไทย</v>
          </cell>
          <cell r="C644" t="str">
            <v>สมาคมผู้ผลิตปลาป่นไทย</v>
          </cell>
          <cell r="D644" t="str">
            <v>BBL</v>
          </cell>
          <cell r="E644" t="str">
            <v>195-3-02755-2</v>
          </cell>
        </row>
        <row r="645">
          <cell r="B645" t="str">
            <v>สรรพสามิต</v>
          </cell>
          <cell r="C645" t="str">
            <v>นายธวัต เชื้อดี</v>
          </cell>
          <cell r="D645" t="str">
            <v>KTB</v>
          </cell>
          <cell r="E645" t="str">
            <v>806-1-22259-0</v>
          </cell>
        </row>
        <row r="646">
          <cell r="B646" t="str">
            <v>สหทำเบาะ</v>
          </cell>
          <cell r="C646" t="str">
            <v>นายยศพัฒน์  ตั้งสมบัติสกุล</v>
          </cell>
          <cell r="D646" t="str">
            <v>TTB</v>
          </cell>
          <cell r="E646" t="str">
            <v>791-2-00443-4</v>
          </cell>
        </row>
        <row r="647">
          <cell r="B647" t="str">
            <v>สำนักงานเขตบางกะปิ</v>
          </cell>
          <cell r="C647" t="str">
            <v>สำนักงานเขตบางกะปิ</v>
          </cell>
          <cell r="D647" t="str">
            <v>QRCode</v>
          </cell>
          <cell r="E647" t="str">
            <v>QRCode</v>
          </cell>
        </row>
        <row r="648">
          <cell r="B648" t="str">
            <v>สุขประเสริฐการยาง</v>
          </cell>
          <cell r="C648" t="str">
            <v>นางสุภารัตน์  ลัภนะกุล</v>
          </cell>
          <cell r="D648" t="str">
            <v>SCB</v>
          </cell>
          <cell r="E648" t="str">
            <v>581-2-32101-6</v>
          </cell>
        </row>
        <row r="649">
          <cell r="B649" t="str">
            <v>สุพรรษา  ชัยชนะ</v>
          </cell>
          <cell r="C649" t="str">
            <v>สุพรรษา  ชัยชนะ</v>
          </cell>
          <cell r="D649" t="str">
            <v>Kbank</v>
          </cell>
          <cell r="E649" t="str">
            <v>059-1-25516-9</v>
          </cell>
        </row>
        <row r="650">
          <cell r="B650" t="str">
            <v>แสงรุ่งมารีน</v>
          </cell>
          <cell r="C650" t="str">
            <v>นายพีระ  ณ ถลาง</v>
          </cell>
          <cell r="D650" t="str">
            <v>Kbank</v>
          </cell>
          <cell r="E650" t="str">
            <v>460-2-01548-9</v>
          </cell>
        </row>
        <row r="651">
          <cell r="B651" t="str">
            <v>หจก. เจริญยนต์ไทยพัฒนา</v>
          </cell>
          <cell r="C651" t="str">
            <v>คุณวิชาดา  เพิ่มพันธุ์วรวัฒน์</v>
          </cell>
          <cell r="D651" t="str">
            <v>TTB</v>
          </cell>
          <cell r="E651" t="str">
            <v>919-2-32631-3</v>
          </cell>
        </row>
        <row r="652">
          <cell r="B652" t="str">
            <v>หจก.ก.แสงทอง</v>
          </cell>
          <cell r="C652" t="str">
            <v>หจก.ก.แสงทอง</v>
          </cell>
          <cell r="D652" t="str">
            <v>SCB</v>
          </cell>
          <cell r="E652" t="str">
            <v>404-2-07919-0</v>
          </cell>
        </row>
        <row r="653">
          <cell r="B653" t="str">
            <v>หจก.กังย่งเฮง</v>
          </cell>
          <cell r="C653" t="str">
            <v>คุณธนาภรณ์  เพราะดีงาม</v>
          </cell>
          <cell r="D653" t="str">
            <v>BBL</v>
          </cell>
          <cell r="E653" t="str">
            <v>308-5-24006-1</v>
          </cell>
        </row>
        <row r="654">
          <cell r="B654" t="str">
            <v xml:space="preserve">หจก.กังย่งเฮง </v>
          </cell>
          <cell r="C654" t="str">
            <v>หจก.กังย่งเฮง</v>
          </cell>
          <cell r="D654" t="str">
            <v>TTB</v>
          </cell>
          <cell r="E654" t="str">
            <v>281-2-45916-8</v>
          </cell>
        </row>
        <row r="655">
          <cell r="B655" t="str">
            <v>หจก.เกษมพงษ์รัตน์</v>
          </cell>
          <cell r="C655" t="str">
            <v>หจก.เกษมพงษ์รัตน์</v>
          </cell>
          <cell r="D655" t="str">
            <v>Kbank</v>
          </cell>
          <cell r="E655" t="str">
            <v>398-2-95466-4</v>
          </cell>
        </row>
        <row r="656">
          <cell r="B656" t="str">
            <v>หจก.แกรนเมโทรฮาร์ดแวร์</v>
          </cell>
          <cell r="C656" t="str">
            <v>หจก.แกรนเมโทรฮาร์ดแวร์</v>
          </cell>
          <cell r="D656" t="str">
            <v>TTB</v>
          </cell>
          <cell r="E656" t="str">
            <v>122-2-13785-1</v>
          </cell>
        </row>
        <row r="657">
          <cell r="B657" t="str">
            <v>หจก.ข้ามสมุทรขนส่ง</v>
          </cell>
          <cell r="C657" t="str">
            <v>หจก.ข้ามสมุทรขนส่ง</v>
          </cell>
          <cell r="D657" t="str">
            <v>TTB</v>
          </cell>
          <cell r="E657" t="str">
            <v>429-1-05081-5</v>
          </cell>
        </row>
        <row r="658">
          <cell r="B658" t="str">
            <v>หจก.จ.เจริญกรุง</v>
          </cell>
          <cell r="C658" t="str">
            <v>คุณปุณณภา  เจียรมณีงาม</v>
          </cell>
          <cell r="D658" t="str">
            <v>Kbank</v>
          </cell>
          <cell r="E658" t="str">
            <v>080-2-92740-1</v>
          </cell>
        </row>
        <row r="659">
          <cell r="B659" t="str">
            <v xml:space="preserve">หจก.จ.เจริญกรุง </v>
          </cell>
          <cell r="C659" t="str">
            <v>หจก.จ.เจริญกรุง</v>
          </cell>
          <cell r="D659" t="str">
            <v>Kbank</v>
          </cell>
          <cell r="E659" t="str">
            <v>080-2-48154-3</v>
          </cell>
        </row>
        <row r="660">
          <cell r="B660" t="str">
            <v>หจก.จีทีอาร์ ซัพพลาย</v>
          </cell>
          <cell r="C660" t="str">
            <v>หจก.จีทีอาร์ ซัพพลาย</v>
          </cell>
          <cell r="D660" t="str">
            <v>Kbank</v>
          </cell>
          <cell r="E660" t="str">
            <v>972-2-52993-3</v>
          </cell>
        </row>
        <row r="661">
          <cell r="B661" t="str">
            <v>หจก.เจริญยนต์ไทยพัฒนา</v>
          </cell>
          <cell r="C661" t="str">
            <v>หจก.เจริญยนต์ไทยพัฒนา</v>
          </cell>
          <cell r="D661" t="str">
            <v>Kbank</v>
          </cell>
          <cell r="E661" t="str">
            <v>005-2-61833-9</v>
          </cell>
        </row>
        <row r="662">
          <cell r="B662" t="str">
            <v>หจก.ชุมพรรุ่งเรืองทรานสปร์ต</v>
          </cell>
          <cell r="C662" t="str">
            <v>หจก.ชุมพรรุ่งเรืองทรานสปร์ต</v>
          </cell>
          <cell r="D662" t="str">
            <v>Kbank</v>
          </cell>
          <cell r="E662" t="str">
            <v>113-2-51750-5</v>
          </cell>
        </row>
        <row r="663">
          <cell r="B663" t="str">
            <v>หจก.ทรัพย์สิริซัพพลาย</v>
          </cell>
          <cell r="C663" t="str">
            <v>หจก.ทรัพย์สิริซัพพลาย</v>
          </cell>
          <cell r="D663" t="str">
            <v>BAY</v>
          </cell>
          <cell r="E663" t="str">
            <v>188-1-43657-7</v>
          </cell>
        </row>
        <row r="664">
          <cell r="B664" t="str">
            <v>หจก.ทิเม้ง</v>
          </cell>
          <cell r="C664" t="str">
            <v>หจก.ทิเม้ง</v>
          </cell>
          <cell r="D664" t="str">
            <v>Kbank</v>
          </cell>
          <cell r="E664" t="str">
            <v>050-1-02664-6</v>
          </cell>
        </row>
        <row r="665">
          <cell r="B665" t="str">
            <v>หจก.เทพศิริ</v>
          </cell>
          <cell r="C665" t="str">
            <v>หจก.เทพศิริ</v>
          </cell>
          <cell r="D665" t="str">
            <v>Kbank</v>
          </cell>
          <cell r="E665" t="str">
            <v>052-8-05352-1</v>
          </cell>
        </row>
        <row r="666">
          <cell r="B666" t="str">
            <v>หจก.ไทยรับเบอร์แอนด์ฮาร์ดแวร์</v>
          </cell>
          <cell r="C666" t="str">
            <v>หจก.ไทยรับเบอร์แอนด์ฮาร์ดแวร์</v>
          </cell>
          <cell r="D666" t="str">
            <v>TTB</v>
          </cell>
          <cell r="E666" t="str">
            <v>802-2-01220-0</v>
          </cell>
        </row>
        <row r="667">
          <cell r="B667" t="str">
            <v>หจก.พรรณแก้วขนส่ง</v>
          </cell>
          <cell r="C667" t="str">
            <v>หจก.พรรณแก้วขนส่ง</v>
          </cell>
          <cell r="D667" t="str">
            <v>Kbank</v>
          </cell>
          <cell r="E667" t="str">
            <v>232-2-25896-0</v>
          </cell>
        </row>
        <row r="668">
          <cell r="B668" t="str">
            <v>หจก.พี.เค.แอนด์ พี.พี.เทรดดิ้ง</v>
          </cell>
          <cell r="C668" t="str">
            <v>หจก.พี.เค.แอนด์ พี.พี.เทรดดิ้ง</v>
          </cell>
          <cell r="D668" t="str">
            <v>TTB</v>
          </cell>
          <cell r="E668" t="str">
            <v>111-2-11197-4</v>
          </cell>
        </row>
        <row r="669">
          <cell r="B669" t="str">
            <v>หจก.มารีนไทย ชิปยาร์ด&amp;เอ็นจิเนียริ่ง</v>
          </cell>
          <cell r="C669" t="str">
            <v>หจก.มารีนไทย ชิปยาร์ด&amp;เอ็นจิเนียริ่ง</v>
          </cell>
          <cell r="D669" t="str">
            <v>Kbank</v>
          </cell>
          <cell r="E669" t="str">
            <v>068-3-36425-8</v>
          </cell>
        </row>
        <row r="670">
          <cell r="B670" t="str">
            <v>หจก.ยิ่งยง สมาร์ท บิส</v>
          </cell>
          <cell r="C670" t="str">
            <v>หจก.ยิ่งยง สมาร์ท บิส</v>
          </cell>
          <cell r="D670" t="str">
            <v>SCB</v>
          </cell>
          <cell r="E670" t="str">
            <v>410-0-42025-1</v>
          </cell>
        </row>
        <row r="671">
          <cell r="B671" t="str">
            <v>หจก.สาธิตกลการ</v>
          </cell>
          <cell r="C671" t="str">
            <v>หจก.สาธิตกลการ</v>
          </cell>
          <cell r="D671" t="str">
            <v>Kbank</v>
          </cell>
          <cell r="E671" t="str">
            <v>044-1-01532-1</v>
          </cell>
        </row>
        <row r="672">
          <cell r="B672" t="str">
            <v>หจก.สุขประเสริฐการยาง</v>
          </cell>
          <cell r="C672" t="str">
            <v>หจก.สุขประเสริฐการยาง</v>
          </cell>
          <cell r="D672" t="str">
            <v>SCB</v>
          </cell>
          <cell r="E672" t="str">
            <v>581-2-12730-7</v>
          </cell>
        </row>
        <row r="673">
          <cell r="B673" t="str">
            <v>หจก.เสกศิริเนติพันธ์</v>
          </cell>
          <cell r="C673" t="str">
            <v>หจก.เสกศิริเนติพันธ์</v>
          </cell>
          <cell r="D673" t="str">
            <v>Kbank</v>
          </cell>
          <cell r="E673" t="str">
            <v>232-1-03519-4</v>
          </cell>
        </row>
        <row r="674">
          <cell r="B674" t="str">
            <v>หจก.อ้วนเทอร์โบ</v>
          </cell>
          <cell r="C674" t="str">
            <v>นายอธิวัฒน์  หลอดสันเทียะ</v>
          </cell>
          <cell r="D674" t="str">
            <v>Kbank</v>
          </cell>
          <cell r="E674" t="str">
            <v>849-2-06517-0</v>
          </cell>
        </row>
        <row r="675">
          <cell r="B675" t="str">
            <v>หจก.อันดามัน ระนอง ขนส่ง</v>
          </cell>
          <cell r="C675" t="str">
            <v>หจก.อันดามัน ระนอง ขนส่ง</v>
          </cell>
          <cell r="D675" t="str">
            <v>Kbank</v>
          </cell>
          <cell r="E675" t="str">
            <v>790-2-39193-7</v>
          </cell>
        </row>
        <row r="676">
          <cell r="B676" t="str">
            <v>หจก.เอส.เอ็ม.พี ระนองเทรดดิ้ง</v>
          </cell>
          <cell r="C676" t="str">
            <v>หจก.เอส.เอ็ม.พี ระนองเทรดดิ้ง</v>
          </cell>
          <cell r="D676" t="str">
            <v>KTB</v>
          </cell>
          <cell r="E676" t="str">
            <v>361-0-03378-9</v>
          </cell>
        </row>
        <row r="677">
          <cell r="B677" t="str">
            <v>หจก.ฮะเซ่งจั่น</v>
          </cell>
          <cell r="C677" t="str">
            <v>หจก.ฮะเซ่งจั่น</v>
          </cell>
          <cell r="D677" t="str">
            <v>SCB</v>
          </cell>
          <cell r="E677" t="str">
            <v>042-2-81711-4</v>
          </cell>
        </row>
        <row r="678">
          <cell r="B678" t="str">
            <v>หจก.ฮะเซ้งพาณิชย์</v>
          </cell>
          <cell r="C678" t="str">
            <v>หจก.ฮะเซ้งพาณิชย์</v>
          </cell>
          <cell r="D678" t="str">
            <v>Kbank</v>
          </cell>
          <cell r="E678" t="str">
            <v>050-2-24937-1</v>
          </cell>
        </row>
        <row r="679">
          <cell r="B679" t="str">
            <v>หนูดี</v>
          </cell>
          <cell r="C679" t="str">
            <v>น.ส.ฐิตารีย์  ทักษิณาวงศ์</v>
          </cell>
          <cell r="D679" t="str">
            <v>BAY</v>
          </cell>
          <cell r="E679" t="str">
            <v>800-9-32664-3</v>
          </cell>
        </row>
        <row r="680">
          <cell r="B680" t="str">
            <v xml:space="preserve">หนูดี </v>
          </cell>
          <cell r="C680" t="str">
            <v>น.ส.ฐิตารีย์   ทักษิณาวงศ์</v>
          </cell>
          <cell r="D680" t="str">
            <v>Kbank</v>
          </cell>
          <cell r="E680" t="str">
            <v>141-8-31192-0</v>
          </cell>
        </row>
        <row r="681">
          <cell r="B681" t="str">
            <v>หมู่บ้านแพใหม่</v>
          </cell>
          <cell r="C681" t="str">
            <v>หมู่บ้านแพใหม่</v>
          </cell>
          <cell r="D681" t="str">
            <v>GSB</v>
          </cell>
          <cell r="E681" t="str">
            <v>020-4-6939244-1</v>
          </cell>
        </row>
        <row r="682">
          <cell r="B682" t="str">
            <v>ห้องปฏิบัติการกลาง</v>
          </cell>
          <cell r="C682" t="str">
            <v>บมจ.ห้องปฏิบัติการกลาง(ประเทศไทย)</v>
          </cell>
          <cell r="D682" t="str">
            <v>BBL</v>
          </cell>
          <cell r="E682" t="str">
            <v>161-5-54505-8</v>
          </cell>
        </row>
        <row r="683">
          <cell r="B683" t="str">
            <v>อนุสรณ์(ฉีดโฟม)</v>
          </cell>
          <cell r="C683" t="str">
            <v>คุณอนุสรณ์และคุณภาวิณี ลีละบรรยงค์</v>
          </cell>
          <cell r="D683" t="str">
            <v>SCB</v>
          </cell>
          <cell r="E683" t="str">
            <v>324-3-01659-1</v>
          </cell>
        </row>
        <row r="684">
          <cell r="B684" t="str">
            <v>อวนเจ้จิ๋ม</v>
          </cell>
          <cell r="C684" t="str">
            <v>นางจิระประไพ  เทียนอำไพ</v>
          </cell>
          <cell r="D684" t="str">
            <v>BBL</v>
          </cell>
          <cell r="E684" t="str">
            <v>527-0-21719-2</v>
          </cell>
        </row>
        <row r="685">
          <cell r="B685" t="str">
            <v>อันดามันขนส่ง(โกกิ้ว)</v>
          </cell>
          <cell r="C685" t="str">
            <v>นายบุณย์เนตร  ลิ่มตั้ง</v>
          </cell>
          <cell r="D685" t="str">
            <v>TTB</v>
          </cell>
          <cell r="E685" t="str">
            <v>429-2-21175-4</v>
          </cell>
        </row>
        <row r="686">
          <cell r="B686" t="str">
            <v>อู่ขวัญชีวิต</v>
          </cell>
          <cell r="C686" t="str">
            <v>คุณบุปผา สายสาหร่าย</v>
          </cell>
          <cell r="D686" t="str">
            <v>SCB</v>
          </cell>
          <cell r="E686" t="str">
            <v>581-2-08847-2</v>
          </cell>
        </row>
        <row r="687">
          <cell r="B687" t="str">
            <v xml:space="preserve">อู่ขวัญชีวิต </v>
          </cell>
          <cell r="C687" t="str">
            <v>นายเอกราช  ติกวัฒนานนท์</v>
          </cell>
          <cell r="D687" t="str">
            <v>SCB</v>
          </cell>
          <cell r="E687" t="str">
            <v>581-2-17255-6</v>
          </cell>
        </row>
        <row r="688">
          <cell r="B688" t="str">
            <v>อู่ช่างขวัญ</v>
          </cell>
          <cell r="C688" t="str">
            <v>คุณสุพพัต  ชัยศิริภูริสกุล</v>
          </cell>
          <cell r="D688" t="str">
            <v>Kbank</v>
          </cell>
          <cell r="E688" t="str">
            <v>175-1-12467-4</v>
          </cell>
        </row>
        <row r="689">
          <cell r="B689" t="str">
            <v>อู่ช่างปลา</v>
          </cell>
          <cell r="C689" t="str">
            <v>คุณขวัญนภา ทองคำ</v>
          </cell>
          <cell r="D689" t="str">
            <v>TTB</v>
          </cell>
          <cell r="E689" t="str">
            <v>429-2-24514-1</v>
          </cell>
        </row>
        <row r="690">
          <cell r="B690" t="str">
            <v xml:space="preserve">อู่ช่างปลา </v>
          </cell>
          <cell r="C690" t="str">
            <v>นายวีระชัย  ทองคำ</v>
          </cell>
          <cell r="D690" t="str">
            <v>KTB</v>
          </cell>
          <cell r="E690" t="str">
            <v>361-0-23225-0</v>
          </cell>
        </row>
        <row r="691">
          <cell r="B691" t="str">
            <v xml:space="preserve">อู่ช่างปลา   </v>
          </cell>
          <cell r="C691" t="str">
            <v>นายวีระชัย   ทองคำ</v>
          </cell>
          <cell r="D691" t="str">
            <v>TTB</v>
          </cell>
          <cell r="E691" t="str">
            <v>791-2-03975-2</v>
          </cell>
        </row>
        <row r="692">
          <cell r="B692" t="str">
            <v>อู่นิพนธ์</v>
          </cell>
          <cell r="C692" t="str">
            <v>นายนิพนธ์ ทวนทอง</v>
          </cell>
          <cell r="D692" t="str">
            <v>Kbank</v>
          </cell>
          <cell r="E692" t="str">
            <v>460-2-06492-7</v>
          </cell>
        </row>
        <row r="693">
          <cell r="B693" t="str">
            <v>อู่เสงี่ยมการช่าง</v>
          </cell>
          <cell r="C693" t="str">
            <v>คุณพิมพ์ชนก ถิ่นวงษ์ยอด</v>
          </cell>
          <cell r="D693" t="str">
            <v>BAY</v>
          </cell>
          <cell r="E693" t="str">
            <v>161-1-23879-2</v>
          </cell>
        </row>
        <row r="694">
          <cell r="B694" t="str">
            <v>อู่เสน่ห์</v>
          </cell>
          <cell r="C694" t="str">
            <v>นางกิรณา  สุขอร่าม</v>
          </cell>
          <cell r="D694" t="str">
            <v>Kbank</v>
          </cell>
          <cell r="E694" t="str">
            <v>232-2-11657-0</v>
          </cell>
        </row>
        <row r="695">
          <cell r="B695" t="str">
            <v>โอ๋เจริญการช่าง</v>
          </cell>
          <cell r="C695" t="str">
            <v>นายธีรยุทธ สุขแจ่ม</v>
          </cell>
          <cell r="D695" t="str">
            <v>BBL</v>
          </cell>
          <cell r="E695" t="str">
            <v>291-0-83736-4</v>
          </cell>
        </row>
        <row r="696">
          <cell r="B696" t="str">
            <v>เฮียเก๊า</v>
          </cell>
          <cell r="C696" t="str">
            <v>นายเมธี  วาตะศิริกุล</v>
          </cell>
          <cell r="D696" t="str">
            <v>Kbank</v>
          </cell>
          <cell r="E696" t="str">
            <v>317-1-02251-6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&#3649;&#3614;&#3611;&#3621;&#3634;KPS%20-%20Mbanking%2069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98.763222453701" createdVersion="7" refreshedVersion="7" minRefreshableVersion="3" recordCount="143" xr:uid="{BC8FB5C9-78C0-450A-AAED-31C49D079310}">
  <cacheSource type="worksheet">
    <worksheetSource ref="A3:J146" sheet="5-69" r:id="rId2"/>
  </cacheSource>
  <cacheFields count="10">
    <cacheField name="Voucher" numFmtId="0">
      <sharedItems containsBlank="1"/>
    </cacheField>
    <cacheField name="Pst" numFmtId="0">
      <sharedItems containsNonDate="0" containsString="0" containsBlank="1"/>
    </cacheField>
    <cacheField name="วันที่" numFmtId="0">
      <sharedItems containsDate="1" containsBlank="1" containsMixedTypes="1" minDate="2026-05-01T00:00:00" maxDate="2026-05-31T00:00:00"/>
    </cacheField>
    <cacheField name="A/Cย่อย" numFmtId="0">
      <sharedItems containsNonDate="0" containsString="0" containsBlank="1"/>
    </cacheField>
    <cacheField name="ชื่อบัญชี" numFmtId="0">
      <sharedItems containsBlank="1" count="75">
        <m/>
        <s v="Yส่วนตัว"/>
        <s v="โกต้งส่วนตัว"/>
        <s v="โกเจี้ยวส่วนตัว"/>
        <s v="CH-Exp"/>
        <s v="สำรองเจ้าหน้าที่"/>
        <s v="OFF"/>
        <s v="Exp MYEIK"/>
        <s v="ต้นน้ำจืด"/>
        <s v="บ่อน้ำตาอิน"/>
        <s v="สำรองทิพย์"/>
        <s v="ชาญสยามขนส่ง"/>
        <s v="สำรองโกจุ่ง"/>
        <s v="M-SHOP"/>
        <s v="บจ.โรงกลึงสองวัลย์"/>
        <s v="FM"/>
        <s v="BBL 966-1"/>
        <s v="โกชุ้น (ขนส่ง)"/>
        <s v="ตันเก้ง"/>
        <s v="ตั้งข้าวสาร"/>
        <s v="หจก.เสกศิริเนติพันธ์"/>
        <s v="พรรณแก้ว(ขนส่ง)"/>
        <s v="วาสนาอดิศรขนส่ง"/>
        <s v="แร่นอง(ขนส่ง)"/>
        <s v="พี่ธงชัย"/>
        <s v="อันดามันขนส่ง(โกกิ้ว)"/>
        <s v="หจก.เอส.เอ็ม.พี ระนองเทรดดิ้ง"/>
        <s v="HHT-S"/>
        <s v="KSส่วนตัว (โกตาต้า)"/>
        <s v="TK-โรงกลึง"/>
        <s v="HHT ICE-3"/>
        <s v="อู่ช่างปลา"/>
        <s v="KPS-ห้องเย็น"/>
        <s v="ICE KAWTHAUNG"/>
        <s v="โรงน้ำแข็งเจริญชัย"/>
        <s v="ระนองลิเดอร์"/>
        <s v="อู่ขวัญชีวิต"/>
        <s v="นพดลการไฟฟ้า"/>
        <s v="PJ"/>
        <s v="มุกอะไหล่"/>
        <s v="ปั้มตันปุ้น"/>
        <s v="ชัยวัฒน์การช่าง"/>
        <s v="ร้านดวงดี"/>
        <s v="ระนองเคหะภัณฑ์"/>
        <s v="พ.เจริญยนต์"/>
        <s v="U SOE THEIN (YST)"/>
        <s v="ตู๋"/>
        <s v="แพกลุ่มเกษตร"/>
        <s v="MV.001"/>
        <s v="PT(1)"/>
        <s v="KPS-ท่าเรือเขานางหงส์"/>
        <s v="กิจไพศาลวัสดุ"/>
        <s v="UTK เรือรวม"/>
        <s v="YNTZ CONCRETE ทำงาน"/>
        <s v="โกโรจน์(ถัง)"/>
        <s v="ช่างเยื้อน"/>
        <s v="Ko Than Win(z)"/>
        <s v="YNTZ ICE"/>
        <s v="คานเรือโกตา"/>
        <s v="อู่นิพนธ์"/>
        <s v="ช่างเดช-ต่อเรือเหล็ก(พ่นทราย)"/>
        <s v="ช่างพร"/>
        <s v="ค่าผ่านแพกิจไพศาล"/>
        <s v="ก้อง"/>
        <s v="รถน้ำ"/>
        <s v="ช่างเพชร-ขายปลา"/>
        <s v="จี้หม่วย"/>
        <s v="เรือปั่นไฟ HHT-12"/>
        <s v="YNTZ C-PAC"/>
        <s v="EXP C-PAC"/>
        <s v="BBL 1678-1"/>
        <s v="พี่สาโรจน์"/>
        <s v="Exp M-SHOP"/>
        <s v="HHT ICE"/>
        <s v="ช่างเดช-พ่นทราย" u="1"/>
      </sharedItems>
    </cacheField>
    <cacheField name="รายละเอียด" numFmtId="0">
      <sharedItems containsBlank="1"/>
    </cacheField>
    <cacheField name="จ่ายให้" numFmtId="0">
      <sharedItems containsBlank="1"/>
    </cacheField>
    <cacheField name="BY" numFmtId="0">
      <sharedItems containsBlank="1"/>
    </cacheField>
    <cacheField name="รับ" numFmtId="187">
      <sharedItems containsString="0" containsBlank="1" containsNumber="1" containsInteger="1" minValue="2000" maxValue="3000000"/>
    </cacheField>
    <cacheField name="จ่าย" numFmtId="187">
      <sharedItems containsString="0" containsBlank="1" containsNumber="1" minValue="12.66" maxValue="79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">
  <r>
    <m/>
    <m/>
    <s v="ยกมา"/>
    <m/>
    <x v="0"/>
    <m/>
    <m/>
    <m/>
    <m/>
    <m/>
  </r>
  <r>
    <s v="M69-05-001"/>
    <m/>
    <d v="2026-05-01T00:00:00"/>
    <m/>
    <x v="1"/>
    <s v="โอนเงินให้มะโถ้ย 5.)"/>
    <s v="แฟนโกหย่ง"/>
    <s v="BBL"/>
    <m/>
    <n v="150000"/>
  </r>
  <r>
    <s v="M69-05-002"/>
    <m/>
    <d v="2026-05-01T00:00:00"/>
    <m/>
    <x v="2"/>
    <s v="ให้จี้เกี่ยใช้ 5.) (ปิดอ่าว#2)"/>
    <s v="จี้เมธ์   "/>
    <s v="TTB"/>
    <m/>
    <n v="100000"/>
  </r>
  <r>
    <s v="M69-05-003"/>
    <m/>
    <d v="2026-05-01T00:00:00"/>
    <m/>
    <x v="3"/>
    <s v="เงินเดือนโกเจี้ยวและครอบครัว 5.)"/>
    <m/>
    <e v="#N/A"/>
    <m/>
    <n v="495000"/>
  </r>
  <r>
    <s v="M69-05-004"/>
    <m/>
    <d v="2026-05-01T00:00:00"/>
    <m/>
    <x v="4"/>
    <s v="รายเดือนครอบครัวโกช่อง 5.)"/>
    <m/>
    <e v="#N/A"/>
    <m/>
    <n v="250000"/>
  </r>
  <r>
    <s v="M69-05-005"/>
    <m/>
    <d v="2026-05-01T00:00:00"/>
    <m/>
    <x v="5"/>
    <s v="รายเดือนสรรพสามิต 5.)"/>
    <s v="สรรพสามิต"/>
    <s v="KTB"/>
    <m/>
    <n v="5000"/>
  </r>
  <r>
    <s v="M69-05-006"/>
    <m/>
    <d v="2026-05-01T00:00:00"/>
    <m/>
    <x v="6"/>
    <s v="เงินเดือนน้องอร(ชมรมแพปลา) 4.)"/>
    <s v="โกจุ่ง"/>
    <s v="BBL"/>
    <m/>
    <n v="2500"/>
  </r>
  <r>
    <s v="M69-05-007"/>
    <m/>
    <d v="2026-05-04T00:00:00"/>
    <m/>
    <x v="7"/>
    <s v="โอนเงิน (โกหย่งแจ้งให้โอน)"/>
    <s v="MS.ZIN THU HAN"/>
    <s v="P-Pay"/>
    <m/>
    <n v="4000"/>
  </r>
  <r>
    <s v="M69-05-008"/>
    <m/>
    <d v="2026-05-04T00:00:00"/>
    <m/>
    <x v="7"/>
    <s v="ค่ารถและค่าไกด์ (โกหย่งแจ้งให้โอน)"/>
    <s v="ยี่เอ้ง"/>
    <s v="BBL"/>
    <m/>
    <n v="6500"/>
  </r>
  <r>
    <s v="M69-05-009"/>
    <m/>
    <d v="2026-05-05T00:00:00"/>
    <m/>
    <x v="8"/>
    <s v="ค่าน้ำจืด 4.) (128คันx140 )"/>
    <s v="ต้นน้ำจืด"/>
    <s v="KTB"/>
    <m/>
    <n v="17920"/>
  </r>
  <r>
    <s v="M69-05-010"/>
    <m/>
    <d v="2026-05-05T00:00:00"/>
    <m/>
    <x v="9"/>
    <s v="ค่าน้ำจืด 4.) (48คันx150 )"/>
    <s v="บ่อน้ำตาอิน "/>
    <s v="TTB"/>
    <m/>
    <n v="7200"/>
  </r>
  <r>
    <s v="M69-05-011"/>
    <m/>
    <d v="2026-05-05T00:00:00"/>
    <m/>
    <x v="10"/>
    <s v="ค่าโทรศัพท์AIS 4.)"/>
    <s v="ทิพย์ (ท่าเรือฯ)2"/>
    <s v="P-Pay"/>
    <m/>
    <n v="6754"/>
  </r>
  <r>
    <s v="M69-05-012"/>
    <m/>
    <d v="2026-05-05T00:00:00"/>
    <m/>
    <x v="11"/>
    <s v="ค่าบรรทุกปลาป่นRGT#15/25-26 WTK (14คัน)(หักW/Tax 1,330.-) รอบที่ 1"/>
    <s v="ชาญสยามขนส่ง"/>
    <s v="Kbank"/>
    <m/>
    <n v="131670"/>
  </r>
  <r>
    <s v="M69-05-013"/>
    <m/>
    <d v="2026-05-05T00:00:00"/>
    <m/>
    <x v="12"/>
    <s v="ค่าเช่าธนสาร2/ใต้โต๊ะ/ตม. 4.)"/>
    <s v="โกจุ่ง"/>
    <s v="BBL"/>
    <m/>
    <n v="115707"/>
  </r>
  <r>
    <s v="M69-05-014"/>
    <m/>
    <d v="2026-05-05T00:00:00"/>
    <m/>
    <x v="2"/>
    <s v="ค่าของ 3.) (บ้านโกต้ง)"/>
    <s v="มงคลพรหมระนอง "/>
    <s v="อิสลาม"/>
    <m/>
    <n v="5450"/>
  </r>
  <r>
    <s v="M69-05-015"/>
    <m/>
    <d v="2026-05-05T00:00:00"/>
    <m/>
    <x v="13"/>
    <s v="ลวดเชื่อม"/>
    <s v="THAI KOBELCO WELDING"/>
    <s v="MIZUHO"/>
    <m/>
    <n v="379368"/>
  </r>
  <r>
    <s v="M69-05-016"/>
    <m/>
    <d v="2026-05-05T00:00:00"/>
    <m/>
    <x v="14"/>
    <s v="มัดจำ50% หน้าต่าง,ลูกบิด,ยางฟองน้ำ"/>
    <s v="บจ.โรงกลึงสองวัลย์"/>
    <s v="Kbank"/>
    <m/>
    <n v="390300"/>
  </r>
  <r>
    <s v="M69-05-017"/>
    <m/>
    <d v="2026-05-05T00:00:00"/>
    <m/>
    <x v="13"/>
    <s v="ทางแยกน้ำทองเหลือง(5ชิ้น)"/>
    <s v="บจ.ยนตรการเมทัลเวิร์ค"/>
    <s v="BBL"/>
    <m/>
    <n v="15789"/>
  </r>
  <r>
    <s v="M69-05-018"/>
    <m/>
    <d v="2026-05-05T00:00:00"/>
    <m/>
    <x v="13"/>
    <s v="ตะปูตะกั่ว 40กก."/>
    <s v="บจ.แกรนเมโทรฮาร์ดแวร์"/>
    <s v="Kbank"/>
    <m/>
    <n v="5800"/>
  </r>
  <r>
    <s v="M69-05-019"/>
    <m/>
    <d v="2026-05-05T00:00:00"/>
    <m/>
    <x v="15"/>
    <s v="ค่าวิเคราะห์ปลาป่น #15/25-26 WTK (54x710.-)"/>
    <s v="บจ.จรมิตร"/>
    <s v="Kbank"/>
    <m/>
    <n v="38340"/>
  </r>
  <r>
    <m/>
    <m/>
    <d v="2026-05-06T00:00:00"/>
    <m/>
    <x v="16"/>
    <s v="นำเงินเข้าบัญชี"/>
    <m/>
    <e v="#N/A"/>
    <n v="3000000"/>
    <m/>
  </r>
  <r>
    <s v="M69-05-020"/>
    <m/>
    <d v="2026-05-06T00:00:00"/>
    <m/>
    <x v="11"/>
    <s v="ค่าบรรทุกปลาป่นRGT#15/25-26 WTK (8คัน)(หักW/Tax 760.-) รอบที่ 2"/>
    <s v="ชาญสยามขนส่ง"/>
    <s v="Kbank"/>
    <m/>
    <n v="75240"/>
  </r>
  <r>
    <s v="M69-05-021"/>
    <m/>
    <d v="2026-05-06T00:00:00"/>
    <m/>
    <x v="17"/>
    <s v="ค่าบรรทุกปลาป่นRGT#15/25-26 WTK (6คัน)(หักW/Tax 570.-)"/>
    <s v="โกชุ้น (ขนส่ง)"/>
    <s v="Kbank"/>
    <m/>
    <n v="56430"/>
  </r>
  <r>
    <s v="M69-05-022"/>
    <m/>
    <d v="2026-05-06T00:00:00"/>
    <m/>
    <x v="18"/>
    <s v="ค่าบรรทุกปลาป่นRGT#15/25-26 WTK (4คัน)(หักW/Tax 380.-)"/>
    <s v="บจ.ทีเค.วัน ขนส่ง และ เซอร์วิส"/>
    <s v="BBL"/>
    <m/>
    <n v="37620"/>
  </r>
  <r>
    <s v="M69-05-023"/>
    <m/>
    <d v="2026-05-06T00:00:00"/>
    <m/>
    <x v="19"/>
    <s v="ค่าบรรทุกปลาป่นRGT#15/25-26 WTK (4คัน)(หักW/Tax 380.-)"/>
    <s v="ตั้งข้าวสาร"/>
    <s v="Kbank"/>
    <m/>
    <n v="37620"/>
  </r>
  <r>
    <s v="M69-05-024"/>
    <m/>
    <d v="2026-05-06T00:00:00"/>
    <m/>
    <x v="20"/>
    <s v="ค่าบรรทุกปลาป่นRGT#15/25-26 WTK (4คัน)(หักW/Tax 380.-)"/>
    <s v="หจก.เสกศิริเนติพันธ์"/>
    <s v="Kbank"/>
    <m/>
    <n v="37620"/>
  </r>
  <r>
    <s v="M69-05-025"/>
    <m/>
    <d v="2026-05-06T00:00:00"/>
    <m/>
    <x v="21"/>
    <s v="ค่าบรรทุกปลาป่นRGT#15/25-26 WTK (2คัน)(หักW/Tax 190.-)"/>
    <s v="บจ.พรรณแก้วขนส่ง"/>
    <s v="Kbank"/>
    <m/>
    <n v="18810"/>
  </r>
  <r>
    <s v="M69-05-026"/>
    <m/>
    <d v="2026-05-06T00:00:00"/>
    <m/>
    <x v="22"/>
    <s v="ค่าบรรทุกปลาป่นRGT#15/25-26 WTK (2คัน)(หักW/Tax 190.-)"/>
    <s v="วาสนาอดิศร  "/>
    <s v="TTB"/>
    <m/>
    <n v="18810"/>
  </r>
  <r>
    <s v="M69-05-027"/>
    <m/>
    <d v="2026-05-06T00:00:00"/>
    <m/>
    <x v="23"/>
    <s v="ค่าบรรทุกปลาป่นRGT#15/25-26 WTK (2คัน)(หักW/Tax 190.-)"/>
    <s v="แร่นอง(ขนส่ง)"/>
    <s v="SCB"/>
    <m/>
    <n v="18810"/>
  </r>
  <r>
    <s v="M69-05-028"/>
    <m/>
    <d v="2026-05-06T00:00:00"/>
    <m/>
    <x v="24"/>
    <s v="ค่าบรรทุกปลาป่นRGT#15/25-26 WTK (2คัน)(หักW/Tax 190.-)"/>
    <s v="พี่ธงชัย"/>
    <s v="Kbank"/>
    <m/>
    <n v="18810"/>
  </r>
  <r>
    <s v="M69-05-029"/>
    <m/>
    <d v="2026-05-06T00:00:00"/>
    <m/>
    <x v="25"/>
    <s v="ค่าบรรทุกปลาป่นRGT#15/25-26 WTK (2คัน)(หักW/Tax 190.-)"/>
    <s v="อันดามันขนส่ง(โกกิ้ว)"/>
    <s v="TTB"/>
    <m/>
    <n v="18810"/>
  </r>
  <r>
    <s v="M69-05-030"/>
    <m/>
    <d v="2026-05-06T00:00:00"/>
    <m/>
    <x v="26"/>
    <s v="ค่าบรรทุกปลาป่นRGT#15/25-26 WTK (4คัน)(หักW/Tax 380.-)"/>
    <s v="หจก.เอส.เอ็ม.พี ระนองเทรดดิ้ง"/>
    <s v="KTB"/>
    <m/>
    <n v="37620"/>
  </r>
  <r>
    <s v="035/1738"/>
    <m/>
    <d v="2026-05-07T00:00:00"/>
    <m/>
    <x v="27"/>
    <s v="รับค่าของ"/>
    <m/>
    <e v="#N/A"/>
    <n v="143040"/>
    <m/>
  </r>
  <r>
    <s v="M69-05-031"/>
    <m/>
    <d v="2026-05-07T00:00:00"/>
    <m/>
    <x v="2"/>
    <s v="ค่าของ 4.) (อาหารไก่, ตาข่ายกรองแสง,สปริงฯ)"/>
    <s v="บจ.มานิตย์ระนองการเกษตร"/>
    <s v="SCB"/>
    <m/>
    <n v="4950"/>
  </r>
  <r>
    <s v="M69-05-032"/>
    <m/>
    <d v="2026-05-07T00:00:00"/>
    <m/>
    <x v="28"/>
    <s v="เบิกเงิน"/>
    <s v="MR.ZAW MYO TUN"/>
    <s v="BBL"/>
    <m/>
    <n v="500000"/>
  </r>
  <r>
    <s v="M69-05-033"/>
    <m/>
    <d v="2026-05-07T00:00:00"/>
    <m/>
    <x v="29"/>
    <s v="ค่าซ่อมและค่าอะไหล่,เงินทุนค่าอะไหล่ฯ 4.)"/>
    <s v="โกแดง"/>
    <s v="KTB"/>
    <m/>
    <n v="661712"/>
  </r>
  <r>
    <s v="M69-05-034"/>
    <m/>
    <d v="2026-05-07T00:00:00"/>
    <m/>
    <x v="30"/>
    <s v="น้ำยาโฟม 5,053กก."/>
    <s v="นายสมบูรณ์ พงษ์ขยัน"/>
    <s v="Kbank"/>
    <m/>
    <n v="757950"/>
  </r>
  <r>
    <s v="M69-05-035"/>
    <m/>
    <d v="2026-05-07T00:00:00"/>
    <m/>
    <x v="31"/>
    <s v="ค่าซ่อมช่วงล่าง บง6505"/>
    <s v="อู่ช่างปลา   "/>
    <s v="TTB"/>
    <m/>
    <n v="3850"/>
  </r>
  <r>
    <s v="M69-05-036"/>
    <m/>
    <d v="2026-05-08T00:00:00"/>
    <m/>
    <x v="31"/>
    <s v="ค่าแรงและค่าของซ่อมบันไดฯ 80-5271"/>
    <s v="อู่ช่างปลา   "/>
    <s v="TTB"/>
    <m/>
    <n v="13440"/>
  </r>
  <r>
    <s v="M69-05-037"/>
    <m/>
    <d v="2026-05-08T00:00:00"/>
    <m/>
    <x v="32"/>
    <s v="เบิกเงินสดย่อย"/>
    <s v="พี่เสง(KPS-ห้องเย็น)"/>
    <s v="Kbank"/>
    <m/>
    <n v="200000"/>
  </r>
  <r>
    <s v="M69-05-038"/>
    <m/>
    <d v="2026-05-08T00:00:00"/>
    <m/>
    <x v="33"/>
    <s v="ค่าแรงซ่อมสปีดคอนโทรล+ค่าเรือ"/>
    <s v="ช่างหมู"/>
    <s v="Kbank"/>
    <m/>
    <n v="7500"/>
  </r>
  <r>
    <s v="M69-05-039"/>
    <m/>
    <d v="2026-05-11T00:00:00"/>
    <m/>
    <x v="34"/>
    <s v="ค่าน้ำแข็งดองปลา 4.)"/>
    <s v="คุณเล็ก(ค่าน้ำแข็ง)"/>
    <s v="SCB"/>
    <m/>
    <n v="9025"/>
  </r>
  <r>
    <s v="M69-05-040"/>
    <m/>
    <d v="2026-05-11T00:00:00"/>
    <m/>
    <x v="34"/>
    <s v="ค่าน้ำแข็ง 4.) (30ซองx100) (วาสนาอดิศร)"/>
    <s v="คุณเล็ก(ค่าน้ำแข็ง)"/>
    <s v="SCB"/>
    <m/>
    <n v="3000"/>
  </r>
  <r>
    <s v="M69-05-041"/>
    <m/>
    <d v="2026-05-11T00:00:00"/>
    <m/>
    <x v="35"/>
    <s v="ค่าเครื่องดื่ม 4.)"/>
    <s v="ระนองลิเดอร์ "/>
    <s v="BAY"/>
    <m/>
    <n v="9370"/>
  </r>
  <r>
    <s v="M69-05-042"/>
    <m/>
    <d v="2026-05-11T00:00:00"/>
    <m/>
    <x v="36"/>
    <s v="ค่าซ่อมรถ 4.)"/>
    <s v="อู่ขวัญชีวิต"/>
    <s v="SCB"/>
    <m/>
    <n v="46450"/>
  </r>
  <r>
    <s v="M69-05-043"/>
    <m/>
    <d v="2026-05-11T00:00:00"/>
    <m/>
    <x v="25"/>
    <s v="ค่าบรรทุกของ 4.)"/>
    <s v="อันดามันขนส่ง(โกกิ้ว)"/>
    <s v="TTB"/>
    <m/>
    <n v="2790"/>
  </r>
  <r>
    <s v="M69-05-044"/>
    <m/>
    <d v="2026-05-11T00:00:00"/>
    <m/>
    <x v="37"/>
    <s v="ค่าแรง 4.)"/>
    <s v="นพดลการไฟฟ้า "/>
    <s v="SCB"/>
    <m/>
    <n v="14700"/>
  </r>
  <r>
    <s v="M69-05-045"/>
    <m/>
    <d v="2026-05-11T00:00:00"/>
    <m/>
    <x v="38"/>
    <s v="ค่าวัสดุและอุปกรณ์อื่นๆ 4.)"/>
    <s v="PJ"/>
    <s v="Kbank"/>
    <m/>
    <n v="10480"/>
  </r>
  <r>
    <s v="M69-05-046"/>
    <m/>
    <d v="2026-05-11T00:00:00"/>
    <m/>
    <x v="39"/>
    <s v="ค่าแรงและค่าของ 4.)"/>
    <s v="มุกอะไหล่ "/>
    <s v="SCB"/>
    <m/>
    <n v="12800"/>
  </r>
  <r>
    <s v="M69-05-047"/>
    <m/>
    <d v="2026-05-11T00:00:00"/>
    <m/>
    <x v="40"/>
    <s v="ค่าน้ำมันดีเซล 4.) (รถน้ำ)"/>
    <s v="ปั้มตันปุ้น."/>
    <s v="Kbank"/>
    <m/>
    <n v="41370"/>
  </r>
  <r>
    <s v="M69-05-048"/>
    <m/>
    <d v="2026-05-11T00:00:00"/>
    <m/>
    <x v="41"/>
    <s v="ค่าแรง 4.)"/>
    <s v="ชัยวัฒน์การช่าง"/>
    <s v="Kbank"/>
    <m/>
    <n v="121795"/>
  </r>
  <r>
    <s v="M69-05-049"/>
    <m/>
    <d v="2026-05-11T00:00:00"/>
    <m/>
    <x v="42"/>
    <s v="ค่าของ 4.) "/>
    <s v="ร้านดวงดี"/>
    <s v="Kbank"/>
    <m/>
    <n v="238966"/>
  </r>
  <r>
    <s v="M69-05-050"/>
    <m/>
    <d v="2026-05-11T00:00:00"/>
    <m/>
    <x v="43"/>
    <s v="ค่าของ 3.) - 4.) "/>
    <s v="ระนองเคหะภัณฑ์"/>
    <s v="Kbank"/>
    <m/>
    <n v="21412"/>
  </r>
  <r>
    <s v="M69-05-051"/>
    <m/>
    <d v="2026-05-11T00:00:00"/>
    <m/>
    <x v="44"/>
    <s v="ค่าอะไหล่ซ่อมรถ 4.)"/>
    <s v="พ.เจริญยนต์"/>
    <s v="BAY"/>
    <m/>
    <n v="21721"/>
  </r>
  <r>
    <s v="M69-05-052"/>
    <m/>
    <d v="2026-05-11T00:00:00"/>
    <m/>
    <x v="45"/>
    <s v="ค่าของ 4.)"/>
    <s v="พรชัยอะไหล่"/>
    <s v="Kbank"/>
    <m/>
    <n v="600091"/>
  </r>
  <r>
    <s v="M69-05-053"/>
    <m/>
    <d v="2026-05-11T00:00:00"/>
    <m/>
    <x v="2"/>
    <s v="ค่าเหล็ก 2.) (เขานายัง)"/>
    <s v="โลหะไพโรจน์ "/>
    <s v="BBL"/>
    <m/>
    <n v="910"/>
  </r>
  <r>
    <m/>
    <m/>
    <d v="2026-05-12T00:00:00"/>
    <m/>
    <x v="16"/>
    <s v="นำเงินเข้าบัญชี"/>
    <m/>
    <e v="#N/A"/>
    <n v="3000000"/>
    <m/>
  </r>
  <r>
    <s v="M69-05-054"/>
    <m/>
    <d v="2026-05-12T00:00:00"/>
    <m/>
    <x v="5"/>
    <s v="รับรองแขก (โกหย่งแจ้งให้โอนคะ)"/>
    <s v="พี่เบิ้ล"/>
    <s v="BBL"/>
    <m/>
    <n v="170000"/>
  </r>
  <r>
    <m/>
    <m/>
    <d v="2026-05-12T00:00:00"/>
    <m/>
    <x v="1"/>
    <s v="รับรองแขก (โกหย่งแจ้งให้โอนคะ)"/>
    <s v="พี่เบิ้ล"/>
    <s v="BBL"/>
    <m/>
    <n v="30000"/>
  </r>
  <r>
    <s v="035/1743"/>
    <m/>
    <d v="2026-05-13T00:00:00"/>
    <m/>
    <x v="46"/>
    <s v="รับค่าผ่านแพ ค่าเครน + ค่าด่านชั่ง - เงินเดือนท่าเรือ"/>
    <m/>
    <e v="#N/A"/>
    <n v="1751101"/>
    <m/>
  </r>
  <r>
    <m/>
    <m/>
    <m/>
    <m/>
    <x v="0"/>
    <s v=" - กรรมกรแทงปลาป่น - ค่าใช้จ่าย - สำรองจ่ายโกต้ง 4.)"/>
    <m/>
    <e v="#N/A"/>
    <n v="1500000"/>
    <m/>
  </r>
  <r>
    <s v="M69-05-055"/>
    <m/>
    <d v="2026-05-13T00:00:00"/>
    <m/>
    <x v="47"/>
    <s v="ค่าคอนกรีต 4.)"/>
    <s v="บจ.กิจไพศาลคอนกรีต"/>
    <s v="TTB"/>
    <m/>
    <n v="23862"/>
  </r>
  <r>
    <m/>
    <m/>
    <d v="2026-05-13T00:00:00"/>
    <m/>
    <x v="2"/>
    <s v="ค่าคอนกรีต 4.) (กรีนรีไซเคิล)"/>
    <s v="บจ.กิจไพศาลคอนกรีต"/>
    <s v="TTB"/>
    <m/>
    <n v="17343"/>
  </r>
  <r>
    <s v="M69-05-056"/>
    <m/>
    <d v="2026-05-13T00:00:00"/>
    <m/>
    <x v="2"/>
    <s v="ค่าของ 4.) (ทราย,ไม้กวาดทางมะพร้าว)"/>
    <s v="กิจไพศาลวัสดุ  "/>
    <s v="Kbank"/>
    <m/>
    <n v="160"/>
  </r>
  <r>
    <s v="M69-05-057"/>
    <m/>
    <d v="2026-05-13T00:00:00"/>
    <m/>
    <x v="2"/>
    <s v="ค่าของ 4.) (เหล็ก(กล่อง+ข้ออ้อย+เส้น),ปั้มMITSU,ท่อPVC,สีฯ)"/>
    <s v="บจ.กิจไพศาลวัสดุ"/>
    <s v="Kbank"/>
    <m/>
    <n v="143692"/>
  </r>
  <r>
    <s v="M69-05-058"/>
    <m/>
    <d v="2026-05-13T00:00:00"/>
    <m/>
    <x v="13"/>
    <s v="ส่วนต่างค่าอวนดำ "/>
    <s v="บจ.อวนไทย "/>
    <s v="Kbank"/>
    <m/>
    <n v="6560"/>
  </r>
  <r>
    <s v="M69-05-059"/>
    <m/>
    <d v="2026-05-13T00:00:00"/>
    <m/>
    <x v="48"/>
    <s v="สายยก 2เส้น"/>
    <s v="บจ.เลิศสยามสตีล K"/>
    <s v="Kbank"/>
    <m/>
    <n v="2140"/>
  </r>
  <r>
    <m/>
    <m/>
    <d v="2026-05-13T00:00:00"/>
    <m/>
    <x v="49"/>
    <s v="เหล็กแผ่น, เหล็กฉาก, ลวดเชื่อม"/>
    <s v="บจ.เลิศสยามสตีล K"/>
    <s v="Kbank"/>
    <m/>
    <n v="31811"/>
  </r>
  <r>
    <s v="M69-05-060"/>
    <m/>
    <d v="2026-05-13T00:00:00"/>
    <m/>
    <x v="49"/>
    <s v="สีJOTUN, ทินเนอร์"/>
    <s v="หจก.เกษมพงษ์รัตน์"/>
    <s v="Kbank"/>
    <m/>
    <n v="20116"/>
  </r>
  <r>
    <s v="M69-05-061"/>
    <m/>
    <d v="2026-05-13T00:00:00"/>
    <m/>
    <x v="30"/>
    <s v="พลาสติกใสปูพื้น 20 ม้วน"/>
    <s v="บจ.ไถ่เชียงระนอง"/>
    <s v="Kbank"/>
    <m/>
    <n v="9000"/>
  </r>
  <r>
    <m/>
    <m/>
    <d v="2026-05-13T00:00:00"/>
    <m/>
    <x v="50"/>
    <s v="บันไดอลูมิเนียม 8 ฟุต 1 ชิ้น"/>
    <s v="บจ.ไถ่เชียงระนอง"/>
    <s v="Kbank"/>
    <m/>
    <n v="2980"/>
  </r>
  <r>
    <s v="M69-05-062"/>
    <m/>
    <d v="2026-05-13T00:00:00"/>
    <m/>
    <x v="33"/>
    <s v="กาวาเนอร์คอนโทรล"/>
    <s v="บจ.เจริญยนต์ไทยพัฒนา "/>
    <e v="#N/A"/>
    <m/>
    <n v="4320"/>
  </r>
  <r>
    <s v="M69-05-063"/>
    <m/>
    <d v="2026-05-14T00:00:00"/>
    <m/>
    <x v="4"/>
    <s v="เบิกค่าใช้จ่าย 4.)"/>
    <s v="คุณเล็ก(แฟนโกช่อง)"/>
    <s v="SCB"/>
    <m/>
    <n v="206635"/>
  </r>
  <r>
    <m/>
    <m/>
    <m/>
    <m/>
    <x v="0"/>
    <m/>
    <m/>
    <e v="#N/A"/>
    <m/>
    <m/>
  </r>
  <r>
    <m/>
    <m/>
    <m/>
    <m/>
    <x v="0"/>
    <m/>
    <m/>
    <e v="#N/A"/>
    <m/>
    <m/>
  </r>
  <r>
    <s v="M69-05-064"/>
    <m/>
    <d v="2026-05-15T00:00:00"/>
    <m/>
    <x v="51"/>
    <s v="ค่าของ 4.)"/>
    <s v="กิจไพศาลวัสดุ  "/>
    <s v="Kbank"/>
    <m/>
    <n v="15"/>
  </r>
  <r>
    <s v="M69-05-065"/>
    <m/>
    <d v="2026-05-15T00:00:00"/>
    <m/>
    <x v="51"/>
    <s v="ค่าของ 4.)"/>
    <s v="บจ.กิจไพศาลวัสดุ"/>
    <s v="Kbank"/>
    <m/>
    <n v="23437"/>
  </r>
  <r>
    <s v="M69-05-066"/>
    <m/>
    <d v="2026-05-15T00:00:00"/>
    <m/>
    <x v="52"/>
    <s v="เงินเดือนช่างรวม (1-15/5/2026)"/>
    <s v="ช่างรวม"/>
    <s v="Kbank"/>
    <m/>
    <n v="22500"/>
  </r>
  <r>
    <s v="M69-05-067"/>
    <m/>
    <d v="2026-05-15T00:00:00"/>
    <m/>
    <x v="13"/>
    <s v="สังกะสีกันกร่อน 150ก้อน"/>
    <s v="บจ.พีดับบลิว อินเตอร์มาร์ท"/>
    <s v="SCB"/>
    <m/>
    <n v="116100"/>
  </r>
  <r>
    <s v="M69-05-068"/>
    <m/>
    <d v="2026-05-15T00:00:00"/>
    <m/>
    <x v="53"/>
    <s v="กิ๊บดึงลวด"/>
    <s v="บจ.พีอาร์วิศวกรรม K"/>
    <s v="Kbank"/>
    <m/>
    <n v="2247"/>
  </r>
  <r>
    <s v="M69-05-069"/>
    <m/>
    <d v="2026-05-15T00:00:00"/>
    <m/>
    <x v="54"/>
    <s v="ถัง200Lit (162ใบx3,300.-)"/>
    <s v="โกโรจน์ (ถัง)"/>
    <s v="Kbank"/>
    <m/>
    <n v="534600"/>
  </r>
  <r>
    <s v="M69-05-070"/>
    <m/>
    <d v="2026-05-18T00:00:00"/>
    <m/>
    <x v="5"/>
    <s v="ค่าปลา 3.)-4.) (ผู้ว่าฯ, ผู้การฯ)"/>
    <s v="โกชุ้น"/>
    <s v="Kbank"/>
    <m/>
    <n v="8972"/>
  </r>
  <r>
    <s v="M69-05-071"/>
    <m/>
    <d v="2026-05-18T00:00:00"/>
    <m/>
    <x v="55"/>
    <s v="ค่าแรงซ่อมเรือPT-1 (หักเบิกเงินสด 30,000)"/>
    <s v="ช่างเยื้อน"/>
    <s v="BBL"/>
    <m/>
    <n v="52500"/>
  </r>
  <r>
    <s v="M69-05-072"/>
    <m/>
    <d v="2026-05-18T00:00:00"/>
    <m/>
    <x v="50"/>
    <s v="ค่าภาษี,ค่าจัดการ,ธรรมเนียม,บริการ (80-5479)"/>
    <s v="น.ส.ชุฤณี  เอี่ยมองค์"/>
    <s v="Kbank"/>
    <m/>
    <n v="6172"/>
  </r>
  <r>
    <s v="M69-05-073"/>
    <m/>
    <d v="2026-05-19T00:00:00"/>
    <m/>
    <x v="4"/>
    <s v="ภาษีที่ดินและสิ่งปลูกสร้าง ปี 2569(บ้านซ.นกเขา)"/>
    <s v="เทศบาลเมืองบางริ้น"/>
    <s v="QRCode"/>
    <m/>
    <n v="12.66"/>
  </r>
  <r>
    <s v="M69-05-074"/>
    <m/>
    <d v="2026-05-19T00:00:00"/>
    <m/>
    <x v="28"/>
    <s v="เบิกเงิน"/>
    <s v="MS.YIN YIN HTIKE"/>
    <s v="BBL"/>
    <m/>
    <n v="500000"/>
  </r>
  <r>
    <s v="M69-05-075"/>
    <m/>
    <d v="2026-05-19T00:00:00"/>
    <m/>
    <x v="56"/>
    <s v="โอนเงิน  (จี้แดง) (19/5)"/>
    <s v="จี้เมธ์ ."/>
    <s v="BBL"/>
    <m/>
    <n v="200000"/>
  </r>
  <r>
    <s v="M69-05-076"/>
    <m/>
    <d v="2026-05-19T00:00:00"/>
    <m/>
    <x v="1"/>
    <s v="ต่อเติมบ้านชาญอิสระ งวดที่1"/>
    <s v="พี่เบิ้ล"/>
    <s v="BBL"/>
    <m/>
    <n v="105000"/>
  </r>
  <r>
    <s v="M69-05-077"/>
    <m/>
    <d v="2026-05-19T00:00:00"/>
    <m/>
    <x v="13"/>
    <s v="ส่วนต่างเชือกใยยักษ์,อวนไนล่อน"/>
    <s v="บจ.อวนไทย "/>
    <s v="Kbank"/>
    <m/>
    <n v="8606"/>
  </r>
  <r>
    <s v="M69-05-078"/>
    <m/>
    <d v="2026-05-19T00:00:00"/>
    <m/>
    <x v="57"/>
    <s v="อะไหล่รอก"/>
    <s v="บจ.ย่งฮงประเทศไทย"/>
    <s v="Kbank"/>
    <m/>
    <n v="11556"/>
  </r>
  <r>
    <s v="M69-05-079"/>
    <m/>
    <d v="2026-05-19T00:00:00"/>
    <m/>
    <x v="13"/>
    <s v="บอลวาล์วหน้าแปลนสแตนเลส"/>
    <s v="หจก.ฮะเซ้งพาณิชย์"/>
    <s v="Kbank"/>
    <m/>
    <n v="52681"/>
  </r>
  <r>
    <s v="M69-05-080"/>
    <m/>
    <d v="2026-05-19T00:00:00"/>
    <m/>
    <x v="49"/>
    <s v="สีJOTUN, ทินเนอร์"/>
    <s v="หจก.เกษมพงษ์รัตน์"/>
    <s v="Kbank"/>
    <m/>
    <n v="83701"/>
  </r>
  <r>
    <s v="M69-05-081"/>
    <m/>
    <d v="2026-05-19T00:00:00"/>
    <m/>
    <x v="50"/>
    <s v="โวลีน AWE ไฮโดรลิค ออยล์"/>
    <s v="บจ.วีอาร์. วาเลอร์"/>
    <s v="BBL"/>
    <m/>
    <n v="13740"/>
  </r>
  <r>
    <s v="M69-05-082"/>
    <m/>
    <d v="2026-05-19T00:00:00"/>
    <m/>
    <x v="13"/>
    <s v="หลอดไฟ,ขั้วกันน้ำ ฯ"/>
    <s v="บจ.เทพศิริ"/>
    <s v="BBL"/>
    <m/>
    <n v="72900"/>
  </r>
  <r>
    <s v="M69-05-083"/>
    <m/>
    <d v="2026-05-19T00:00:00"/>
    <m/>
    <x v="49"/>
    <s v="แป๊ป, เพลา"/>
    <s v="บจ.เลิศสยามสตีล K"/>
    <s v="Kbank"/>
    <m/>
    <n v="5778"/>
  </r>
  <r>
    <s v="M69-05-084"/>
    <m/>
    <d v="2026-05-19T00:00:00"/>
    <m/>
    <x v="32"/>
    <s v="เบิกเงินสดย่อย"/>
    <s v="พี่เสง(KPS-ห้องเย็น)"/>
    <s v="Kbank"/>
    <m/>
    <n v="400000"/>
  </r>
  <r>
    <s v="M69-05-085"/>
    <m/>
    <d v="2026-05-19T00:00:00"/>
    <m/>
    <x v="2"/>
    <s v="ติดตั้งเสา,เชื่อมหลังคา,มุงหลังคา (กรีนรีไซเคิล)"/>
    <s v="ช่างวี"/>
    <s v="Kbank"/>
    <m/>
    <n v="110590"/>
  </r>
  <r>
    <s v="M69-05-086"/>
    <m/>
    <d v="2026-05-19T00:00:00"/>
    <m/>
    <x v="2"/>
    <s v="บัวพื้นล่าง,ลูกบิดก้านโยก,นิปปอน (เขานายัง)"/>
    <s v="บจ.ไถ่เชียงระนอง"/>
    <s v="Kbank"/>
    <m/>
    <n v="12032"/>
  </r>
  <r>
    <s v="M69-05-087"/>
    <m/>
    <d v="2026-05-20T00:00:00"/>
    <m/>
    <x v="58"/>
    <s v="ค่าเรือPT1ขึ้นคานซ่อม"/>
    <s v="บจ.สินทองคำพาณิชย์"/>
    <s v="Kbank"/>
    <m/>
    <n v="133900"/>
  </r>
  <r>
    <s v="M69-05-088"/>
    <m/>
    <d v="2026-05-20T00:00:00"/>
    <m/>
    <x v="59"/>
    <s v="ค่าซ่อมเรือPT1"/>
    <s v="อู่นิพนธ์"/>
    <s v="Kbank"/>
    <m/>
    <n v="8500"/>
  </r>
  <r>
    <s v="M69-05-089"/>
    <m/>
    <d v="2026-05-21T00:00:00"/>
    <m/>
    <x v="2"/>
    <s v="ถังสแตนเลส 12,000ลิตร "/>
    <s v="รวย รวย บริการ "/>
    <s v="BBL"/>
    <m/>
    <n v="120000"/>
  </r>
  <r>
    <s v="M69-05-090"/>
    <m/>
    <d v="2026-05-21T00:00:00"/>
    <m/>
    <x v="60"/>
    <s v="ค่าแรงต่อเรืองวดที่1 (LB-9, LB-10)"/>
    <s v="น.ส.นภฤชา ปิ่นรัตนกุล (ช่างเดช)"/>
    <s v="Kbank"/>
    <m/>
    <n v="792000"/>
  </r>
  <r>
    <s v="M69-05-091"/>
    <m/>
    <d v="2026-05-21T00:00:00"/>
    <m/>
    <x v="61"/>
    <s v="เบิกเงินล่วงหน้า(โกเจี้ยวรับทราบ)"/>
    <s v="ช่างพร"/>
    <s v="BBL"/>
    <m/>
    <n v="60000"/>
  </r>
  <r>
    <s v="M69-05-092"/>
    <m/>
    <d v="2026-05-21T00:00:00"/>
    <m/>
    <x v="13"/>
    <s v="น้ำกรดเติมแบตเตอรี่,ถังน้ำกรด"/>
    <s v="บจ.ลี้เซียฮวด"/>
    <s v="BBL"/>
    <m/>
    <n v="33000"/>
  </r>
  <r>
    <s v="M69-05-093"/>
    <m/>
    <d v="2026-05-21T00:00:00"/>
    <m/>
    <x v="13"/>
    <s v="สีเสน 3ถุง"/>
    <s v="คุณวิเชียร  บุตรศรี"/>
    <s v="BBL"/>
    <m/>
    <n v="13500"/>
  </r>
  <r>
    <s v="M69-05-094"/>
    <m/>
    <d v="2026-05-21T00:00:00"/>
    <m/>
    <x v="13"/>
    <s v="Breaker Panasonic, ปลั๊กเสียบ"/>
    <s v="บจ.เอสเคยูนิเวอร์เซล"/>
    <s v="BBL"/>
    <m/>
    <n v="7600"/>
  </r>
  <r>
    <s v="M69-05-095"/>
    <m/>
    <d v="2026-05-21T00:00:00"/>
    <m/>
    <x v="13"/>
    <s v="ชันฝรั่งปะการัง 540ชุด"/>
    <s v="คุณภาวิณี ลีละบรรยงค์"/>
    <s v="กรุงศรี"/>
    <m/>
    <n v="648000"/>
  </r>
  <r>
    <s v="M69-05-096"/>
    <m/>
    <d v="2026-05-21T00:00:00"/>
    <m/>
    <x v="62"/>
    <s v="ให้โกเหน่งใช้ 5.)"/>
    <s v="จี้หม่วย(ค่าผ่านแพ)"/>
    <s v="Kbank"/>
    <m/>
    <n v="15000"/>
  </r>
  <r>
    <s v="M69-05-097"/>
    <m/>
    <d v="2026-05-21T00:00:00"/>
    <m/>
    <x v="6"/>
    <s v="ค่าอินเตอร์เน็ต RGT 4.)"/>
    <s v="TRUE ONLINE"/>
    <b v="1"/>
    <m/>
    <n v="854.93"/>
  </r>
  <r>
    <s v="035/1750"/>
    <m/>
    <d v="2026-05-22T00:00:00"/>
    <m/>
    <x v="63"/>
    <s v="คืนเงินยืม"/>
    <m/>
    <e v="#N/A"/>
    <n v="2000"/>
    <m/>
  </r>
  <r>
    <s v="M69-05-098"/>
    <m/>
    <d v="2026-05-22T00:00:00"/>
    <m/>
    <x v="64"/>
    <s v="ค่าบริการGPS(20/6/26-19/6/27) 80-4293"/>
    <s v="บจ.โมบาย อินโนเวชั่น"/>
    <s v="Kbank"/>
    <m/>
    <n v="2675"/>
  </r>
  <r>
    <s v="036/1751"/>
    <m/>
    <d v="2026-05-25T00:00:00"/>
    <m/>
    <x v="65"/>
    <s v="รับเงินค่าใช้จ่าย 4.)"/>
    <m/>
    <e v="#N/A"/>
    <n v="84583"/>
    <m/>
  </r>
  <r>
    <s v="M69-05-099"/>
    <m/>
    <d v="2026-05-25T00:00:00"/>
    <m/>
    <x v="50"/>
    <s v="สนับสนุนสร้างห้องน้ำที่ศาลหลักเมืองจ.ระนอง(ผู้ว่าฯขอมา)"/>
    <s v="นายสุเมท สุขสะอาด"/>
    <s v="Kbank"/>
    <m/>
    <n v="50000"/>
  </r>
  <r>
    <m/>
    <m/>
    <d v="2026-05-25T00:00:00"/>
    <m/>
    <x v="5"/>
    <s v="สนับสนุนสร้างห้องน้ำที่ศาลหลักเมืองจ.ระนอง(ผู้ว่าฯขอมา)"/>
    <s v="นายสุเมท สุขสะอาด"/>
    <s v="Kbank"/>
    <m/>
    <n v="50000"/>
  </r>
  <r>
    <s v="M69-05-100"/>
    <m/>
    <d v="2026-05-25T00:00:00"/>
    <m/>
    <x v="50"/>
    <s v="ค่าภาษี,ค่าจัดการ,ธรรมเนียม,ค่าบริการ (80-5144)"/>
    <s v="น.ส.ชุฤณี  เอี่ยมองค์"/>
    <s v="Kbank"/>
    <m/>
    <n v="5468"/>
  </r>
  <r>
    <m/>
    <m/>
    <d v="2026-05-25T00:00:00"/>
    <m/>
    <x v="64"/>
    <s v="ค่าภาษี,ค่าจัดการ,พรบ,ธรรมเนียม,ค่าบริการ (80-4293)"/>
    <s v="น.ส.ชุฤณี  เอี่ยมองค์"/>
    <s v="Kbank"/>
    <m/>
    <n v="7427"/>
  </r>
  <r>
    <s v="M69-05-101"/>
    <m/>
    <d v="2026-05-25T00:00:00"/>
    <m/>
    <x v="2"/>
    <s v="CI (WORK + VISA + บัตรสุขภาพ ) (ลูกน้องในสวน)"/>
    <s v="จี้หม่วย"/>
    <s v="TTB"/>
    <m/>
    <n v="149950"/>
  </r>
  <r>
    <s v="M69-05-102"/>
    <m/>
    <d v="2026-05-25T00:00:00"/>
    <m/>
    <x v="1"/>
    <s v="เงินเดือนคนขับรถ 5.)"/>
    <s v="พี่สมชาย "/>
    <s v="BBL"/>
    <m/>
    <n v="20000"/>
  </r>
  <r>
    <s v="M69-05-103"/>
    <m/>
    <d v="2026-05-25T00:00:00"/>
    <m/>
    <x v="1"/>
    <s v="เงินเดือนพี่เบิ้ล 5.) "/>
    <s v="พี่เบิ้ล"/>
    <s v="BBL"/>
    <m/>
    <n v="15000"/>
  </r>
  <r>
    <s v="M69-05-104"/>
    <m/>
    <d v="2026-05-27T00:00:00"/>
    <m/>
    <x v="2"/>
    <s v="ผ้าใบเต็นท์สีฟ้า 5ม.x10ม.(@ครัวพฤกษา)"/>
    <s v="บจ.สยามชัยอลูมิเนี่ยม และ ผ้าใบ"/>
    <s v="SCB"/>
    <m/>
    <n v="15000"/>
  </r>
  <r>
    <s v="M69-05-105"/>
    <m/>
    <d v="2026-05-27T00:00:00"/>
    <m/>
    <x v="66"/>
    <s v="ค่าทำบัญชี,ปกส.,ภาษี,กยศ. 3.), กองทุนทดแทน68"/>
    <s v="จี้หม่วย"/>
    <s v="TTB"/>
    <m/>
    <n v="134579"/>
  </r>
  <r>
    <m/>
    <m/>
    <m/>
    <m/>
    <x v="0"/>
    <s v="ยื่นปรับปรุงคิด%เงินบริจาคเกิน2566,UPS+เม้าท์"/>
    <m/>
    <m/>
    <m/>
    <m/>
  </r>
  <r>
    <s v="M69-05-106"/>
    <m/>
    <d v="2026-05-27T00:00:00"/>
    <m/>
    <x v="66"/>
    <s v="ค่าทำบัญชี,ปกส.,ภาษี,กยศ. 4.)"/>
    <s v="จี้หม่วย"/>
    <s v="TTB"/>
    <m/>
    <n v="65990"/>
  </r>
  <r>
    <s v="M69-05-107"/>
    <m/>
    <d v="2026-05-27T00:00:00"/>
    <m/>
    <x v="13"/>
    <s v="โคมไฟมินิ 12ตัว"/>
    <s v="บจ.เทพศิริ"/>
    <s v="BBL"/>
    <m/>
    <n v="1920"/>
  </r>
  <r>
    <s v="M69-05-108"/>
    <m/>
    <d v="2026-05-27T00:00:00"/>
    <m/>
    <x v="67"/>
    <s v="หม้อน้ำ 1 ชุด"/>
    <s v="บจ.จีเอสเอ็มมารีนซัพพลาย"/>
    <s v="Kbank"/>
    <m/>
    <n v="55500"/>
  </r>
  <r>
    <s v="M69-05-109"/>
    <m/>
    <d v="2026-05-27T00:00:00"/>
    <m/>
    <x v="13"/>
    <s v="น้ำกลั่นบริสุทธิ์ 50 โหล"/>
    <s v="บจ.ลี้เซียฮวด"/>
    <s v="BBL"/>
    <m/>
    <n v="6000"/>
  </r>
  <r>
    <s v="M69-05-110"/>
    <m/>
    <d v="2026-05-27T00:00:00"/>
    <m/>
    <x v="52"/>
    <s v="เงินเดือนช่างรวม (16-31/5/2026)"/>
    <s v="ช่างรวม"/>
    <s v="Kbank"/>
    <m/>
    <n v="22500"/>
  </r>
  <r>
    <s v="M69-05-111"/>
    <m/>
    <d v="2026-05-28T00:00:00"/>
    <m/>
    <x v="15"/>
    <s v="ค่าจัดการปลาป่น#16/25-26 PH (54คันx500)"/>
    <s v="ชาญสยามขนส่ง"/>
    <s v="Kbank"/>
    <m/>
    <n v="27000"/>
  </r>
  <r>
    <s v="M69-05-112"/>
    <m/>
    <d v="2026-05-28T00:00:00"/>
    <m/>
    <x v="67"/>
    <s v="เครื่องยนต์ HINO"/>
    <s v="หจก.อ้วนเทอร์โบ"/>
    <s v="Kbank"/>
    <m/>
    <n v="215000"/>
  </r>
  <r>
    <s v="M69-05-113"/>
    <m/>
    <d v="2026-05-28T00:00:00"/>
    <m/>
    <x v="15"/>
    <s v="เบี้ยประกันอัคคีภัย เพื่อค้ำวงเงินO.D.(ที่ดิน KPS-คอนกรีต)"/>
    <s v="BBL 1765-6"/>
    <s v="BBL"/>
    <m/>
    <n v="31561"/>
  </r>
  <r>
    <m/>
    <m/>
    <m/>
    <m/>
    <x v="0"/>
    <m/>
    <m/>
    <e v="#N/A"/>
    <m/>
    <m/>
  </r>
  <r>
    <s v="M69-05-114"/>
    <m/>
    <d v="2026-05-29T00:00:00"/>
    <m/>
    <x v="15"/>
    <s v="เงินเดือนโกเจี้ยว 5.)"/>
    <s v="โกเจี้ยว"/>
    <s v="Kbank"/>
    <m/>
    <n v="50000"/>
  </r>
  <r>
    <s v="M69-05-115"/>
    <m/>
    <d v="2026-05-29T00:00:00"/>
    <m/>
    <x v="68"/>
    <s v="เงินเดือนพี่เส็ง 5.)"/>
    <s v="น้องสุ"/>
    <s v="Kbank"/>
    <m/>
    <n v="25000"/>
  </r>
  <r>
    <s v="M69-05-116"/>
    <m/>
    <d v="2026-05-29T00:00:00"/>
    <m/>
    <x v="15"/>
    <s v="เงินเดือน ELDA 5.)"/>
    <s v="Pronpimon  Oangsuwan"/>
    <s v="Kbank"/>
    <m/>
    <n v="30000"/>
  </r>
  <r>
    <s v="M69-05-117"/>
    <m/>
    <d v="2026-05-29T00:00:00"/>
    <m/>
    <x v="69"/>
    <s v="เงินเดือนโกวอม 5.)"/>
    <s v="ตู๋ (บัญชีท่าเรือ)"/>
    <s v="Kbank"/>
    <m/>
    <n v="25000"/>
  </r>
  <r>
    <s v="M69-05-118"/>
    <m/>
    <d v="2026-05-29T00:00:00"/>
    <m/>
    <x v="5"/>
    <s v="รายเดือนจนท.เขตด่าน,ปป.ทะเล,ตม. 5.)"/>
    <s v="โกจุ่ง"/>
    <s v="BBL"/>
    <m/>
    <n v="20000"/>
  </r>
  <r>
    <s v="M69-05-119"/>
    <m/>
    <d v="2026-05-29T00:00:00"/>
    <m/>
    <x v="5"/>
    <s v="รายเดือนผู้การปริญญา"/>
    <s v="ผู้การปริญญา"/>
    <s v="SCB"/>
    <m/>
    <n v="5000"/>
  </r>
  <r>
    <s v="M69-05-120"/>
    <m/>
    <d v="2026-05-29T00:00:00"/>
    <m/>
    <x v="6"/>
    <s v="ค่าโทรศัพท์TOT 5.) 077-816207=107.- /077-816209=107.-"/>
    <s v="TOT"/>
    <s v="QRCode"/>
    <m/>
    <n v="214"/>
  </r>
  <r>
    <m/>
    <m/>
    <d v="2026-05-29T00:00:00"/>
    <m/>
    <x v="70"/>
    <s v="นำเงินเข้าบัญชี"/>
    <m/>
    <e v="#N/A"/>
    <n v="3000000"/>
    <m/>
  </r>
  <r>
    <s v="M69-05-121"/>
    <m/>
    <d v="2026-05-29T00:00:00"/>
    <m/>
    <x v="71"/>
    <s v="ค่าแรงและค่าของ 4.) - 5.)"/>
    <s v="พี่สาโรจน์"/>
    <s v="SCB"/>
    <m/>
    <n v="175050"/>
  </r>
  <r>
    <s v="M69-05-122"/>
    <m/>
    <d v="2026-05-29T00:00:00"/>
    <m/>
    <x v="72"/>
    <s v="เงินเดือน OFF มะริด 5.) (KS 7,455,208÷131)"/>
    <s v="จี้เมธ์ ."/>
    <s v="BBL"/>
    <m/>
    <n v="56910"/>
  </r>
  <r>
    <s v="M69-05-123"/>
    <m/>
    <d v="2026-05-29T00:00:00"/>
    <m/>
    <x v="73"/>
    <s v="มาม่า 25 ลัง"/>
    <s v="นายธนากร  ฉายประทีป "/>
    <s v="Kbank"/>
    <m/>
    <n v="25625"/>
  </r>
  <r>
    <s v="M69-05-124"/>
    <m/>
    <d v="2026-05-30T00:00:00"/>
    <m/>
    <x v="5"/>
    <s v="เงินเดือนผู้การ และ ค่าอาหารผู้การ 6.)"/>
    <s v="คุณนนทรจน์ จันทร์สิงห์"/>
    <s v="Kbank"/>
    <m/>
    <n v="5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3DD7EF-F226-4A74-A86F-671DD45EA30D}" name="PivotTable1" cacheId="4" applyNumberFormats="0" applyBorderFormats="0" applyFontFormats="0" applyPatternFormats="0" applyAlignmentFormats="0" applyWidthHeightFormats="1" dataCaption="ค่า" updatedVersion="7" minRefreshableVersion="3" useAutoFormatting="1" itemPrintTitles="1" createdVersion="7" indent="0" outline="1" outlineData="1" multipleFieldFilters="0">
  <location ref="AE3:AF71" firstHeaderRow="1" firstDataRow="1" firstDataCol="1"/>
  <pivotFields count="10">
    <pivotField showAll="0"/>
    <pivotField showAll="0"/>
    <pivotField showAll="0"/>
    <pivotField showAll="0"/>
    <pivotField axis="axisRow" showAll="0" sortType="ascending">
      <items count="76">
        <item h="1" x="70"/>
        <item h="1" x="16"/>
        <item x="4"/>
        <item x="69"/>
        <item x="72"/>
        <item x="7"/>
        <item x="15"/>
        <item x="73"/>
        <item x="30"/>
        <item h="1" x="27"/>
        <item x="33"/>
        <item x="56"/>
        <item x="50"/>
        <item x="32"/>
        <item x="28"/>
        <item x="13"/>
        <item x="48"/>
        <item x="6"/>
        <item x="38"/>
        <item x="49"/>
        <item x="29"/>
        <item x="45"/>
        <item x="52"/>
        <item x="53"/>
        <item x="68"/>
        <item x="57"/>
        <item x="1"/>
        <item h="1" x="63"/>
        <item x="51"/>
        <item x="3"/>
        <item x="17"/>
        <item x="2"/>
        <item x="54"/>
        <item x="58"/>
        <item x="62"/>
        <item x="66"/>
        <item x="41"/>
        <item x="60"/>
        <item m="1" x="74"/>
        <item x="61"/>
        <item h="1" x="65"/>
        <item x="55"/>
        <item x="11"/>
        <item x="8"/>
        <item x="19"/>
        <item x="18"/>
        <item h="1" x="46"/>
        <item x="37"/>
        <item x="14"/>
        <item x="9"/>
        <item x="40"/>
        <item x="44"/>
        <item x="21"/>
        <item x="24"/>
        <item x="71"/>
        <item x="47"/>
        <item x="39"/>
        <item x="64"/>
        <item x="43"/>
        <item x="35"/>
        <item x="42"/>
        <item x="67"/>
        <item x="23"/>
        <item x="34"/>
        <item x="22"/>
        <item x="12"/>
        <item x="5"/>
        <item x="10"/>
        <item x="20"/>
        <item x="26"/>
        <item x="25"/>
        <item x="36"/>
        <item x="31"/>
        <item x="59"/>
        <item h="1" x="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4"/>
  </rowFields>
  <rowItems count="68"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9"/>
    </i>
    <i>
      <x v="41"/>
    </i>
    <i>
      <x v="42"/>
    </i>
    <i>
      <x v="43"/>
    </i>
    <i>
      <x v="44"/>
    </i>
    <i>
      <x v="45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 t="grand">
      <x/>
    </i>
  </rowItems>
  <colItems count="1">
    <i/>
  </colItems>
  <dataFields count="1">
    <dataField name="ผลรวม ของ จ่าย" fld="9" baseField="0" baseItem="0"/>
  </dataFields>
  <formats count="51">
    <format dxfId="0">
      <pivotArea dataOnly="0" fieldPosition="0">
        <references count="1">
          <reference field="4" count="1">
            <x v="2"/>
          </reference>
        </references>
      </pivotArea>
    </format>
    <format dxfId="1">
      <pivotArea dataOnly="0" fieldPosition="0">
        <references count="1">
          <reference field="4" count="1">
            <x v="21"/>
          </reference>
        </references>
      </pivotArea>
    </format>
    <format dxfId="2">
      <pivotArea dataOnly="0" fieldPosition="0">
        <references count="1">
          <reference field="4" count="1">
            <x v="67"/>
          </reference>
        </references>
      </pivotArea>
    </format>
    <format dxfId="3">
      <pivotArea dataOnly="0" fieldPosition="0">
        <references count="1">
          <reference field="4" count="3">
            <x v="4"/>
            <x v="15"/>
            <x v="24"/>
          </reference>
        </references>
      </pivotArea>
    </format>
    <format dxfId="4">
      <pivotArea dataOnly="0" fieldPosition="0">
        <references count="1">
          <reference field="4" count="1">
            <x v="10"/>
          </reference>
        </references>
      </pivotArea>
    </format>
    <format dxfId="5">
      <pivotArea dataOnly="0" fieldPosition="0">
        <references count="1">
          <reference field="4" count="1">
            <x v="12"/>
          </reference>
        </references>
      </pivotArea>
    </format>
    <format dxfId="6">
      <pivotArea dataOnly="0" fieldPosition="0">
        <references count="1">
          <reference field="4" count="1">
            <x v="14"/>
          </reference>
        </references>
      </pivotArea>
    </format>
    <format dxfId="7">
      <pivotArea dataOnly="0" fieldPosition="0">
        <references count="1">
          <reference field="4" count="1">
            <x v="20"/>
          </reference>
        </references>
      </pivotArea>
    </format>
    <format dxfId="8">
      <pivotArea dataOnly="0" fieldPosition="0">
        <references count="1">
          <reference field="4" count="1">
            <x v="22"/>
          </reference>
        </references>
      </pivotArea>
    </format>
    <format dxfId="9">
      <pivotArea dataOnly="0" fieldPosition="0">
        <references count="1">
          <reference field="4" count="1">
            <x v="26"/>
          </reference>
        </references>
      </pivotArea>
    </format>
    <format dxfId="10">
      <pivotArea dataOnly="0" fieldPosition="0">
        <references count="1">
          <reference field="4" count="1">
            <x v="29"/>
          </reference>
        </references>
      </pivotArea>
    </format>
    <format dxfId="11">
      <pivotArea dataOnly="0" fieldPosition="0">
        <references count="1">
          <reference field="4" count="1">
            <x v="31"/>
          </reference>
        </references>
      </pivotArea>
    </format>
    <format dxfId="12">
      <pivotArea dataOnly="0" fieldPosition="0">
        <references count="1">
          <reference field="4" count="1">
            <x v="34"/>
          </reference>
        </references>
      </pivotArea>
    </format>
    <format dxfId="13">
      <pivotArea dataOnly="0" fieldPosition="0">
        <references count="1">
          <reference field="4" count="1">
            <x v="16"/>
          </reference>
        </references>
      </pivotArea>
    </format>
    <format dxfId="14">
      <pivotArea dataOnly="0" fieldPosition="0">
        <references count="1">
          <reference field="4" count="1">
            <x v="18"/>
          </reference>
        </references>
      </pivotArea>
    </format>
    <format dxfId="15">
      <pivotArea dataOnly="0" fieldPosition="0">
        <references count="1">
          <reference field="4" count="2">
            <x v="28"/>
            <x v="30"/>
          </reference>
        </references>
      </pivotArea>
    </format>
    <format dxfId="16">
      <pivotArea dataOnly="0" fieldPosition="0">
        <references count="1">
          <reference field="4" count="2">
            <x v="36"/>
            <x v="38"/>
          </reference>
        </references>
      </pivotArea>
    </format>
    <format dxfId="17">
      <pivotArea collapsedLevelsAreSubtotals="1" fieldPosition="0">
        <references count="1">
          <reference field="4" count="12">
            <x v="39"/>
            <x v="41"/>
            <x v="42"/>
            <x v="43"/>
            <x v="44"/>
            <x v="45"/>
            <x v="47"/>
            <x v="48"/>
            <x v="49"/>
            <x v="50"/>
            <x v="51"/>
            <x v="52"/>
          </reference>
        </references>
      </pivotArea>
    </format>
    <format dxfId="18">
      <pivotArea dataOnly="0" labelOnly="1" fieldPosition="0">
        <references count="1">
          <reference field="4" count="12">
            <x v="39"/>
            <x v="41"/>
            <x v="42"/>
            <x v="43"/>
            <x v="44"/>
            <x v="45"/>
            <x v="47"/>
            <x v="48"/>
            <x v="49"/>
            <x v="50"/>
            <x v="51"/>
            <x v="52"/>
          </reference>
        </references>
      </pivotArea>
    </format>
    <format dxfId="19">
      <pivotArea collapsedLevelsAreSubtotals="1" fieldPosition="0">
        <references count="1">
          <reference field="4" count="2">
            <x v="53"/>
            <x v="54"/>
          </reference>
        </references>
      </pivotArea>
    </format>
    <format dxfId="20">
      <pivotArea dataOnly="0" labelOnly="1" fieldPosition="0">
        <references count="1">
          <reference field="4" count="2">
            <x v="53"/>
            <x v="54"/>
          </reference>
        </references>
      </pivotArea>
    </format>
    <format dxfId="21">
      <pivotArea collapsedLevelsAreSubtotals="1" fieldPosition="0">
        <references count="1">
          <reference field="4" count="1">
            <x v="56"/>
          </reference>
        </references>
      </pivotArea>
    </format>
    <format dxfId="22">
      <pivotArea dataOnly="0" labelOnly="1" fieldPosition="0">
        <references count="1">
          <reference field="4" count="1">
            <x v="56"/>
          </reference>
        </references>
      </pivotArea>
    </format>
    <format dxfId="23">
      <pivotArea dataOnly="0" fieldPosition="0">
        <references count="1">
          <reference field="4" count="3">
            <x v="58"/>
            <x v="59"/>
            <x v="60"/>
          </reference>
        </references>
      </pivotArea>
    </format>
    <format dxfId="24">
      <pivotArea dataOnly="0" fieldPosition="0">
        <references count="1">
          <reference field="4" count="3">
            <x v="62"/>
            <x v="63"/>
            <x v="64"/>
          </reference>
        </references>
      </pivotArea>
    </format>
    <format dxfId="25">
      <pivotArea collapsedLevelsAreSubtotals="1" fieldPosition="0">
        <references count="1">
          <reference field="4" count="6">
            <x v="68"/>
            <x v="69"/>
            <x v="70"/>
            <x v="71"/>
            <x v="72"/>
            <x v="73"/>
          </reference>
        </references>
      </pivotArea>
    </format>
    <format dxfId="26">
      <pivotArea dataOnly="0" labelOnly="1" fieldPosition="0">
        <references count="1">
          <reference field="4" count="6">
            <x v="68"/>
            <x v="69"/>
            <x v="70"/>
            <x v="71"/>
            <x v="72"/>
            <x v="73"/>
          </reference>
        </references>
      </pivotArea>
    </format>
    <format dxfId="27">
      <pivotArea type="all" dataOnly="0" outline="0" fieldPosition="0"/>
    </format>
    <format dxfId="28">
      <pivotArea outline="0" collapsedLevelsAreSubtotals="1" fieldPosition="0"/>
    </format>
    <format dxfId="29">
      <pivotArea field="4" type="button" dataOnly="0" labelOnly="1" outline="0" axis="axisRow" fieldPosition="0"/>
    </format>
    <format dxfId="30">
      <pivotArea dataOnly="0" labelOnly="1" fieldPosition="0">
        <references count="1">
          <reference field="4" count="50">
            <x v="2"/>
            <x v="3"/>
            <x v="4"/>
            <x v="6"/>
            <x v="7"/>
            <x v="8"/>
            <x v="11"/>
            <x v="12"/>
            <x v="13"/>
            <x v="14"/>
            <x v="15"/>
            <x v="19"/>
            <x v="20"/>
            <x v="21"/>
            <x v="22"/>
            <x v="24"/>
            <x v="26"/>
            <x v="28"/>
            <x v="29"/>
            <x v="30"/>
            <x v="31"/>
            <x v="32"/>
            <x v="33"/>
            <x v="35"/>
            <x v="36"/>
            <x v="38"/>
            <x v="39"/>
            <x v="41"/>
            <x v="42"/>
            <x v="43"/>
            <x v="44"/>
            <x v="45"/>
            <x v="48"/>
            <x v="50"/>
            <x v="51"/>
            <x v="52"/>
            <x v="53"/>
            <x v="54"/>
            <x v="55"/>
            <x v="58"/>
            <x v="60"/>
            <x v="61"/>
            <x v="62"/>
            <x v="64"/>
            <x v="65"/>
            <x v="66"/>
            <x v="68"/>
            <x v="69"/>
            <x v="70"/>
            <x v="71"/>
          </reference>
        </references>
      </pivotArea>
    </format>
    <format dxfId="31">
      <pivotArea dataOnly="0" labelOnly="1" fieldPosition="0">
        <references count="1">
          <reference field="4" count="17">
            <x v="5"/>
            <x v="10"/>
            <x v="16"/>
            <x v="17"/>
            <x v="18"/>
            <x v="23"/>
            <x v="25"/>
            <x v="34"/>
            <x v="47"/>
            <x v="49"/>
            <x v="56"/>
            <x v="57"/>
            <x v="59"/>
            <x v="63"/>
            <x v="67"/>
            <x v="72"/>
            <x v="73"/>
          </reference>
        </references>
      </pivotArea>
    </format>
    <format dxfId="32">
      <pivotArea dataOnly="0" labelOnly="1" grandRow="1" outline="0" fieldPosition="0"/>
    </format>
    <format dxfId="33">
      <pivotArea dataOnly="0" labelOnly="1" outline="0" axis="axisValues" fieldPosition="0"/>
    </format>
    <format dxfId="34">
      <pivotArea type="all" dataOnly="0" outline="0" fieldPosition="0"/>
    </format>
    <format dxfId="35">
      <pivotArea outline="0" collapsedLevelsAreSubtotals="1" fieldPosition="0"/>
    </format>
    <format dxfId="36">
      <pivotArea field="4" type="button" dataOnly="0" labelOnly="1" outline="0" axis="axisRow" fieldPosition="0"/>
    </format>
    <format dxfId="37">
      <pivotArea dataOnly="0" labelOnly="1" fieldPosition="0">
        <references count="1">
          <reference field="4" count="50">
            <x v="2"/>
            <x v="3"/>
            <x v="4"/>
            <x v="6"/>
            <x v="7"/>
            <x v="8"/>
            <x v="11"/>
            <x v="12"/>
            <x v="13"/>
            <x v="14"/>
            <x v="15"/>
            <x v="19"/>
            <x v="20"/>
            <x v="21"/>
            <x v="22"/>
            <x v="24"/>
            <x v="26"/>
            <x v="28"/>
            <x v="29"/>
            <x v="30"/>
            <x v="31"/>
            <x v="32"/>
            <x v="33"/>
            <x v="35"/>
            <x v="36"/>
            <x v="38"/>
            <x v="39"/>
            <x v="41"/>
            <x v="42"/>
            <x v="43"/>
            <x v="44"/>
            <x v="45"/>
            <x v="48"/>
            <x v="50"/>
            <x v="51"/>
            <x v="52"/>
            <x v="53"/>
            <x v="54"/>
            <x v="55"/>
            <x v="58"/>
            <x v="60"/>
            <x v="61"/>
            <x v="62"/>
            <x v="64"/>
            <x v="65"/>
            <x v="66"/>
            <x v="68"/>
            <x v="69"/>
            <x v="70"/>
            <x v="71"/>
          </reference>
        </references>
      </pivotArea>
    </format>
    <format dxfId="38">
      <pivotArea dataOnly="0" labelOnly="1" fieldPosition="0">
        <references count="1">
          <reference field="4" count="17">
            <x v="5"/>
            <x v="10"/>
            <x v="16"/>
            <x v="17"/>
            <x v="18"/>
            <x v="23"/>
            <x v="25"/>
            <x v="34"/>
            <x v="47"/>
            <x v="49"/>
            <x v="56"/>
            <x v="57"/>
            <x v="59"/>
            <x v="63"/>
            <x v="67"/>
            <x v="72"/>
            <x v="73"/>
          </reference>
        </references>
      </pivotArea>
    </format>
    <format dxfId="39">
      <pivotArea dataOnly="0" labelOnly="1" grandRow="1" outline="0" fieldPosition="0"/>
    </format>
    <format dxfId="40">
      <pivotArea dataOnly="0" labelOnly="1" outline="0" axis="axisValues" fieldPosition="0"/>
    </format>
    <format dxfId="41">
      <pivotArea type="all" dataOnly="0" outline="0" fieldPosition="0"/>
    </format>
    <format dxfId="42">
      <pivotArea outline="0" collapsedLevelsAreSubtotals="1" fieldPosition="0"/>
    </format>
    <format dxfId="43">
      <pivotArea field="4" type="button" dataOnly="0" labelOnly="1" outline="0" axis="axisRow" fieldPosition="0"/>
    </format>
    <format dxfId="44">
      <pivotArea dataOnly="0" labelOnly="1" fieldPosition="0">
        <references count="1">
          <reference field="4" count="50">
            <x v="2"/>
            <x v="3"/>
            <x v="4"/>
            <x v="6"/>
            <x v="7"/>
            <x v="8"/>
            <x v="11"/>
            <x v="12"/>
            <x v="13"/>
            <x v="14"/>
            <x v="15"/>
            <x v="19"/>
            <x v="20"/>
            <x v="21"/>
            <x v="22"/>
            <x v="24"/>
            <x v="26"/>
            <x v="28"/>
            <x v="29"/>
            <x v="30"/>
            <x v="31"/>
            <x v="32"/>
            <x v="33"/>
            <x v="35"/>
            <x v="36"/>
            <x v="38"/>
            <x v="39"/>
            <x v="41"/>
            <x v="42"/>
            <x v="43"/>
            <x v="44"/>
            <x v="45"/>
            <x v="48"/>
            <x v="50"/>
            <x v="51"/>
            <x v="52"/>
            <x v="53"/>
            <x v="54"/>
            <x v="55"/>
            <x v="58"/>
            <x v="60"/>
            <x v="61"/>
            <x v="62"/>
            <x v="64"/>
            <x v="65"/>
            <x v="66"/>
            <x v="68"/>
            <x v="69"/>
            <x v="70"/>
            <x v="71"/>
          </reference>
        </references>
      </pivotArea>
    </format>
    <format dxfId="45">
      <pivotArea dataOnly="0" labelOnly="1" fieldPosition="0">
        <references count="1">
          <reference field="4" count="17">
            <x v="5"/>
            <x v="10"/>
            <x v="16"/>
            <x v="17"/>
            <x v="18"/>
            <x v="23"/>
            <x v="25"/>
            <x v="34"/>
            <x v="47"/>
            <x v="49"/>
            <x v="56"/>
            <x v="57"/>
            <x v="59"/>
            <x v="63"/>
            <x v="67"/>
            <x v="72"/>
            <x v="73"/>
          </reference>
        </references>
      </pivotArea>
    </format>
    <format dxfId="46">
      <pivotArea dataOnly="0" labelOnly="1" grandRow="1" outline="0" fieldPosition="0"/>
    </format>
    <format dxfId="47">
      <pivotArea dataOnly="0" labelOnly="1" outline="0" axis="axisValues" fieldPosition="0"/>
    </format>
    <format dxfId="48">
      <pivotArea collapsedLevelsAreSubtotals="1" fieldPosition="0">
        <references count="1">
          <reference field="4" count="0"/>
        </references>
      </pivotArea>
    </format>
    <format dxfId="49">
      <pivotArea dataOnly="0" labelOnly="1" fieldPosition="0">
        <references count="1">
          <reference field="4" count="50">
            <x v="2"/>
            <x v="3"/>
            <x v="4"/>
            <x v="5"/>
            <x v="6"/>
            <x v="7"/>
            <x v="8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8"/>
            <x v="29"/>
            <x v="30"/>
            <x v="31"/>
            <x v="32"/>
            <x v="33"/>
            <x v="34"/>
            <x v="35"/>
            <x v="36"/>
            <x v="38"/>
            <x v="39"/>
            <x v="41"/>
            <x v="42"/>
            <x v="43"/>
            <x v="44"/>
            <x v="45"/>
            <x v="47"/>
            <x v="48"/>
            <x v="49"/>
            <x v="50"/>
            <x v="51"/>
            <x v="52"/>
            <x v="53"/>
            <x v="54"/>
            <x v="55"/>
            <x v="56"/>
          </reference>
        </references>
      </pivotArea>
    </format>
    <format dxfId="50">
      <pivotArea dataOnly="0" labelOnly="1" fieldPosition="0">
        <references count="1">
          <reference field="4" count="17"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7FA40-8F04-4A68-A452-4138850C9830}">
  <dimension ref="A1:AI225"/>
  <sheetViews>
    <sheetView tabSelected="1" topLeftCell="M1" zoomScale="70" zoomScaleNormal="70" workbookViewId="0">
      <pane ySplit="10965"/>
      <selection activeCell="S26" sqref="S26"/>
      <selection pane="bottomLeft" activeCell="AA123" sqref="AA123"/>
    </sheetView>
  </sheetViews>
  <sheetFormatPr defaultRowHeight="24" x14ac:dyDescent="0.55000000000000004"/>
  <cols>
    <col min="1" max="1" width="9.125" style="29" bestFit="1" customWidth="1"/>
    <col min="2" max="2" width="3.875" style="29" hidden="1" customWidth="1"/>
    <col min="3" max="3" width="6.25" style="29" bestFit="1" customWidth="1"/>
    <col min="4" max="4" width="0" style="29" hidden="1" customWidth="1"/>
    <col min="5" max="5" width="15.5" style="29" customWidth="1"/>
    <col min="6" max="6" width="34" style="29" customWidth="1"/>
    <col min="7" max="7" width="16" style="29" customWidth="1"/>
    <col min="8" max="8" width="5.75" style="29" bestFit="1" customWidth="1"/>
    <col min="9" max="10" width="12.25" style="29" customWidth="1"/>
    <col min="11" max="11" width="12.75" style="29" customWidth="1"/>
    <col min="12" max="12" width="0" style="25" hidden="1" customWidth="1"/>
    <col min="13" max="13" width="11.75" style="25" bestFit="1" customWidth="1"/>
    <col min="14" max="16" width="15.25" style="25" customWidth="1"/>
    <col min="17" max="17" width="5.5" style="25" customWidth="1"/>
    <col min="18" max="18" width="6" style="25" bestFit="1" customWidth="1"/>
    <col min="19" max="19" width="22.625" style="25" customWidth="1"/>
    <col min="20" max="20" width="13.375" style="25" bestFit="1" customWidth="1"/>
    <col min="21" max="21" width="0.75" style="25" customWidth="1"/>
    <col min="22" max="24" width="0" style="25" hidden="1" customWidth="1"/>
    <col min="25" max="25" width="0.75" style="25" customWidth="1"/>
    <col min="26" max="26" width="5.75" style="25" customWidth="1"/>
    <col min="27" max="27" width="22.625" style="25" customWidth="1"/>
    <col min="28" max="28" width="13.5" style="25" customWidth="1"/>
    <col min="29" max="29" width="12.75" style="26" bestFit="1" customWidth="1"/>
    <col min="30" max="30" width="6.125" style="28" bestFit="1" customWidth="1"/>
    <col min="31" max="31" width="23.75" style="27" bestFit="1" customWidth="1"/>
    <col min="32" max="32" width="14.375" style="27" bestFit="1" customWidth="1"/>
    <col min="33" max="33" width="14.75" style="26" bestFit="1" customWidth="1"/>
    <col min="34" max="34" width="22.25" style="26" bestFit="1" customWidth="1"/>
    <col min="35" max="35" width="13" style="26" bestFit="1" customWidth="1"/>
    <col min="36" max="16384" width="9" style="25"/>
  </cols>
  <sheetData>
    <row r="1" spans="1:35" x14ac:dyDescent="0.55000000000000004">
      <c r="A1" s="302" t="s">
        <v>2488</v>
      </c>
      <c r="B1" s="302"/>
      <c r="C1" s="302"/>
      <c r="D1" s="302"/>
      <c r="E1" s="302"/>
      <c r="F1" s="302"/>
      <c r="G1" s="302"/>
      <c r="H1" s="302"/>
      <c r="I1" s="302"/>
      <c r="J1" s="302"/>
      <c r="K1" s="302"/>
      <c r="L1" s="302"/>
      <c r="M1" s="306" t="s">
        <v>422</v>
      </c>
      <c r="N1" s="305" t="s">
        <v>2186</v>
      </c>
      <c r="O1" s="305" t="s">
        <v>1528</v>
      </c>
      <c r="P1" s="26" t="s">
        <v>2185</v>
      </c>
      <c r="Q1" s="30"/>
      <c r="R1" s="302" t="s">
        <v>2184</v>
      </c>
      <c r="S1" s="302"/>
      <c r="T1" s="302"/>
      <c r="U1" s="302"/>
      <c r="V1" s="302"/>
      <c r="W1" s="302"/>
      <c r="X1" s="302"/>
      <c r="Y1" s="302"/>
      <c r="Z1" s="302"/>
      <c r="AA1" s="302"/>
      <c r="AB1" s="302"/>
    </row>
    <row r="2" spans="1:35" ht="24.75" thickBot="1" x14ac:dyDescent="0.6">
      <c r="A2" s="304" t="s">
        <v>2187</v>
      </c>
      <c r="B2" s="304"/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3"/>
      <c r="N2" s="26"/>
      <c r="O2" s="26"/>
      <c r="P2" s="26"/>
      <c r="Q2" s="30"/>
      <c r="R2" s="302" t="str">
        <f>A2</f>
        <v>ประจำเดือน พฤษภาคม 2569 (5/2026)</v>
      </c>
      <c r="S2" s="302"/>
      <c r="T2" s="302"/>
      <c r="U2" s="302"/>
      <c r="V2" s="302"/>
      <c r="W2" s="302"/>
      <c r="X2" s="302"/>
      <c r="Y2" s="302"/>
      <c r="Z2" s="302"/>
      <c r="AA2" s="302"/>
      <c r="AB2" s="302"/>
    </row>
    <row r="3" spans="1:35" ht="24.75" thickBot="1" x14ac:dyDescent="0.6">
      <c r="A3" s="297" t="s">
        <v>2183</v>
      </c>
      <c r="B3" s="301" t="s">
        <v>2182</v>
      </c>
      <c r="C3" s="300" t="s">
        <v>2181</v>
      </c>
      <c r="D3" s="297" t="s">
        <v>2180</v>
      </c>
      <c r="E3" s="307" t="s">
        <v>2179</v>
      </c>
      <c r="F3" s="299" t="s">
        <v>6</v>
      </c>
      <c r="G3" s="298" t="s">
        <v>2</v>
      </c>
      <c r="H3" s="298" t="s">
        <v>2178</v>
      </c>
      <c r="I3" s="297" t="s">
        <v>2092</v>
      </c>
      <c r="J3" s="297" t="s">
        <v>2091</v>
      </c>
      <c r="K3" s="297" t="s">
        <v>2177</v>
      </c>
      <c r="L3" s="296" t="s">
        <v>2176</v>
      </c>
      <c r="M3" s="48"/>
      <c r="N3" s="290"/>
      <c r="O3" s="290"/>
      <c r="P3" s="290"/>
      <c r="Q3" s="48"/>
      <c r="R3" s="293" t="s">
        <v>0</v>
      </c>
      <c r="S3" s="293" t="s">
        <v>2175</v>
      </c>
      <c r="T3" s="293" t="s">
        <v>2174</v>
      </c>
      <c r="U3" s="213"/>
      <c r="V3" s="293" t="s">
        <v>0</v>
      </c>
      <c r="W3" s="293" t="s">
        <v>2175</v>
      </c>
      <c r="X3" s="295" t="s">
        <v>2174</v>
      </c>
      <c r="Y3" s="294"/>
      <c r="Z3" s="293" t="s">
        <v>0</v>
      </c>
      <c r="AA3" s="293" t="s">
        <v>2175</v>
      </c>
      <c r="AB3" s="293" t="s">
        <v>2174</v>
      </c>
      <c r="AC3" s="48"/>
      <c r="AD3" s="292" t="s">
        <v>0</v>
      </c>
      <c r="AE3" s="5" t="s">
        <v>2188</v>
      </c>
      <c r="AF3" s="308" t="s">
        <v>2189</v>
      </c>
      <c r="AG3" s="25"/>
      <c r="AH3" s="291" t="s">
        <v>2173</v>
      </c>
      <c r="AI3" s="290"/>
    </row>
    <row r="4" spans="1:35" x14ac:dyDescent="0.55000000000000004">
      <c r="A4" s="289"/>
      <c r="B4" s="288"/>
      <c r="C4" s="287" t="s">
        <v>2172</v>
      </c>
      <c r="D4" s="286"/>
      <c r="E4" s="285"/>
      <c r="F4" s="284"/>
      <c r="G4" s="284"/>
      <c r="H4" s="283"/>
      <c r="I4" s="282"/>
      <c r="J4" s="282"/>
      <c r="K4" s="282">
        <v>3587191.5999999978</v>
      </c>
      <c r="L4" s="281"/>
      <c r="M4" s="30"/>
      <c r="N4" s="26"/>
      <c r="O4" s="26"/>
      <c r="P4" s="26"/>
      <c r="Q4" s="30"/>
      <c r="R4" s="280">
        <v>1</v>
      </c>
      <c r="S4" s="279" t="s">
        <v>251</v>
      </c>
      <c r="T4" s="278">
        <v>3763616.66</v>
      </c>
      <c r="U4" s="30"/>
      <c r="V4" s="275" t="s">
        <v>2171</v>
      </c>
      <c r="W4" s="275"/>
      <c r="X4" s="277">
        <f>T17</f>
        <v>11619300.66</v>
      </c>
      <c r="Y4" s="276"/>
      <c r="Z4" s="275" t="s">
        <v>2171</v>
      </c>
      <c r="AA4" s="275"/>
      <c r="AB4" s="274">
        <f>X21</f>
        <v>11619300.66</v>
      </c>
      <c r="AC4" s="48"/>
      <c r="AD4" s="309">
        <v>1</v>
      </c>
      <c r="AE4" s="310" t="s">
        <v>428</v>
      </c>
      <c r="AF4" s="311">
        <v>456647.66</v>
      </c>
      <c r="AG4" s="25"/>
      <c r="AH4" s="273" t="s">
        <v>13</v>
      </c>
    </row>
    <row r="5" spans="1:35" x14ac:dyDescent="0.55000000000000004">
      <c r="A5" s="261" t="s">
        <v>2190</v>
      </c>
      <c r="B5" s="267"/>
      <c r="C5" s="243">
        <v>46143</v>
      </c>
      <c r="D5" s="266"/>
      <c r="E5" s="265" t="s">
        <v>68</v>
      </c>
      <c r="F5" s="264" t="s">
        <v>2191</v>
      </c>
      <c r="G5" s="264" t="s">
        <v>1682</v>
      </c>
      <c r="H5" s="92" t="str">
        <f>VLOOKUP(G5,บัญชีโอน!$B:$D,3,FALSE)</f>
        <v>BBL</v>
      </c>
      <c r="I5" s="263"/>
      <c r="J5" s="263">
        <v>150000</v>
      </c>
      <c r="K5" s="127">
        <f t="shared" ref="K5:K7" si="0">K4+I5-J5</f>
        <v>3437191.5999999978</v>
      </c>
      <c r="L5" s="268"/>
      <c r="M5" s="30"/>
      <c r="N5" s="26"/>
      <c r="O5" s="26"/>
      <c r="P5" s="26"/>
      <c r="Q5" s="30"/>
      <c r="R5" s="242">
        <v>2</v>
      </c>
      <c r="S5" s="249" t="s">
        <v>28</v>
      </c>
      <c r="T5" s="226">
        <v>2605961</v>
      </c>
      <c r="U5" s="26"/>
      <c r="V5" s="242">
        <v>28</v>
      </c>
      <c r="W5" s="227"/>
      <c r="X5" s="226"/>
      <c r="Y5" s="74"/>
      <c r="Z5" s="225">
        <v>14</v>
      </c>
      <c r="AA5" s="248" t="s">
        <v>2192</v>
      </c>
      <c r="AB5" s="226">
        <v>133900</v>
      </c>
      <c r="AC5" s="272"/>
      <c r="AD5" s="309">
        <v>2</v>
      </c>
      <c r="AE5" s="3" t="s">
        <v>2193</v>
      </c>
      <c r="AF5" s="308">
        <v>25000</v>
      </c>
      <c r="AG5" s="25"/>
      <c r="AH5" s="253" t="s">
        <v>46</v>
      </c>
    </row>
    <row r="6" spans="1:35" x14ac:dyDescent="0.55000000000000004">
      <c r="A6" s="261" t="s">
        <v>2194</v>
      </c>
      <c r="B6" s="267"/>
      <c r="C6" s="243">
        <v>46143</v>
      </c>
      <c r="D6" s="266"/>
      <c r="E6" s="265" t="s">
        <v>134</v>
      </c>
      <c r="F6" s="264" t="s">
        <v>2195</v>
      </c>
      <c r="G6" s="264" t="s">
        <v>557</v>
      </c>
      <c r="H6" s="92" t="str">
        <f>VLOOKUP(G6,บัญชีโอน!$B:$D,3,FALSE)</f>
        <v>TTB</v>
      </c>
      <c r="I6" s="263"/>
      <c r="J6" s="263">
        <v>100000</v>
      </c>
      <c r="K6" s="127">
        <f t="shared" si="0"/>
        <v>3337191.5999999978</v>
      </c>
      <c r="L6" s="268"/>
      <c r="M6" s="30"/>
      <c r="N6" s="26"/>
      <c r="O6" s="26"/>
      <c r="P6" s="26"/>
      <c r="Q6" s="30"/>
      <c r="R6" s="242">
        <v>3</v>
      </c>
      <c r="S6" s="249" t="s">
        <v>2132</v>
      </c>
      <c r="T6" s="226">
        <v>1449734</v>
      </c>
      <c r="U6" s="26"/>
      <c r="V6" s="228">
        <v>29</v>
      </c>
      <c r="W6" s="271"/>
      <c r="X6" s="270"/>
      <c r="Y6" s="74"/>
      <c r="Z6" s="225">
        <v>15</v>
      </c>
      <c r="AA6" s="248" t="s">
        <v>2146</v>
      </c>
      <c r="AB6" s="226">
        <v>115707</v>
      </c>
      <c r="AC6" s="269"/>
      <c r="AD6" s="309">
        <v>3</v>
      </c>
      <c r="AE6" s="312" t="s">
        <v>2134</v>
      </c>
      <c r="AF6" s="313">
        <v>56910</v>
      </c>
      <c r="AG6" s="25"/>
      <c r="AH6" s="253" t="s">
        <v>21</v>
      </c>
      <c r="AI6" s="30"/>
    </row>
    <row r="7" spans="1:35" x14ac:dyDescent="0.55000000000000004">
      <c r="A7" s="261" t="s">
        <v>2196</v>
      </c>
      <c r="B7" s="267"/>
      <c r="C7" s="243">
        <v>46143</v>
      </c>
      <c r="D7" s="266"/>
      <c r="E7" s="265" t="s">
        <v>908</v>
      </c>
      <c r="F7" s="264" t="s">
        <v>2197</v>
      </c>
      <c r="G7" s="264"/>
      <c r="H7" s="92" t="e">
        <f>VLOOKUP(G7,บัญชีโอน!$B:$D,3,FALSE)</f>
        <v>#N/A</v>
      </c>
      <c r="I7" s="263"/>
      <c r="J7" s="263">
        <v>495000</v>
      </c>
      <c r="K7" s="127">
        <f t="shared" si="0"/>
        <v>2842191.5999999978</v>
      </c>
      <c r="L7" s="268"/>
      <c r="M7" s="30"/>
      <c r="N7" s="26"/>
      <c r="O7" s="26"/>
      <c r="P7" s="26"/>
      <c r="Q7" s="30"/>
      <c r="R7" s="242">
        <v>4</v>
      </c>
      <c r="S7" s="249" t="s">
        <v>2198</v>
      </c>
      <c r="T7" s="226">
        <v>766950</v>
      </c>
      <c r="U7" s="26"/>
      <c r="V7" s="225">
        <v>30</v>
      </c>
      <c r="W7" s="227"/>
      <c r="X7" s="226"/>
      <c r="Y7" s="74"/>
      <c r="Z7" s="225">
        <v>16</v>
      </c>
      <c r="AA7" s="248" t="s">
        <v>2199</v>
      </c>
      <c r="AB7" s="226">
        <v>25625</v>
      </c>
      <c r="AC7" s="205"/>
      <c r="AD7" s="309">
        <v>4</v>
      </c>
      <c r="AE7" s="3" t="s">
        <v>113</v>
      </c>
      <c r="AF7" s="308">
        <v>10500</v>
      </c>
      <c r="AG7" s="25"/>
      <c r="AH7" s="253" t="s">
        <v>132</v>
      </c>
      <c r="AI7" s="30"/>
    </row>
    <row r="8" spans="1:35" x14ac:dyDescent="0.55000000000000004">
      <c r="A8" s="261" t="s">
        <v>2200</v>
      </c>
      <c r="B8" s="267"/>
      <c r="C8" s="243">
        <v>46143</v>
      </c>
      <c r="D8" s="266"/>
      <c r="E8" s="265" t="s">
        <v>428</v>
      </c>
      <c r="F8" s="264" t="s">
        <v>2201</v>
      </c>
      <c r="G8" s="264"/>
      <c r="H8" s="92" t="e">
        <f>VLOOKUP(G8,บัญชีโอน!$B:$D,3,FALSE)</f>
        <v>#N/A</v>
      </c>
      <c r="I8" s="263"/>
      <c r="J8" s="263">
        <v>250000</v>
      </c>
      <c r="K8" s="127">
        <f>K7+I8-J8</f>
        <v>2592191.5999999978</v>
      </c>
      <c r="L8" s="268"/>
      <c r="M8" s="30"/>
      <c r="N8" s="26"/>
      <c r="O8" s="26"/>
      <c r="P8" s="26"/>
      <c r="Q8" s="30"/>
      <c r="R8" s="242">
        <v>5</v>
      </c>
      <c r="S8" s="249" t="s">
        <v>2152</v>
      </c>
      <c r="T8" s="226">
        <v>600091</v>
      </c>
      <c r="U8" s="26"/>
      <c r="V8" s="228">
        <v>31</v>
      </c>
      <c r="W8" s="227"/>
      <c r="X8" s="226"/>
      <c r="Y8" s="74"/>
      <c r="Z8" s="225">
        <v>17</v>
      </c>
      <c r="AA8" s="248" t="s">
        <v>2193</v>
      </c>
      <c r="AB8" s="226">
        <v>25000</v>
      </c>
      <c r="AC8" s="205"/>
      <c r="AD8" s="309">
        <v>5</v>
      </c>
      <c r="AE8" s="3" t="s">
        <v>128</v>
      </c>
      <c r="AF8" s="308">
        <v>176901</v>
      </c>
      <c r="AG8" s="25"/>
      <c r="AH8" s="253" t="s">
        <v>42</v>
      </c>
      <c r="AI8" s="30"/>
    </row>
    <row r="9" spans="1:35" x14ac:dyDescent="0.55000000000000004">
      <c r="A9" s="261" t="s">
        <v>2202</v>
      </c>
      <c r="B9" s="267"/>
      <c r="C9" s="243">
        <v>46143</v>
      </c>
      <c r="D9" s="266"/>
      <c r="E9" s="265" t="s">
        <v>422</v>
      </c>
      <c r="F9" s="264" t="s">
        <v>2203</v>
      </c>
      <c r="G9" s="264" t="s">
        <v>1939</v>
      </c>
      <c r="H9" s="92" t="str">
        <f>VLOOKUP(G9,บัญชีโอน!$B:$D,3,FALSE)</f>
        <v>KTB</v>
      </c>
      <c r="I9" s="263"/>
      <c r="J9" s="263">
        <v>5000</v>
      </c>
      <c r="K9" s="127">
        <f t="shared" ref="K9:K72" si="1">K8+I9-J9</f>
        <v>2587191.5999999978</v>
      </c>
      <c r="L9" s="188"/>
      <c r="M9" s="30"/>
      <c r="N9" s="26"/>
      <c r="O9" s="26"/>
      <c r="P9" s="26"/>
      <c r="Q9" s="262"/>
      <c r="R9" s="242">
        <v>6</v>
      </c>
      <c r="S9" s="249" t="s">
        <v>1654</v>
      </c>
      <c r="T9" s="226">
        <v>600000</v>
      </c>
      <c r="U9" s="26"/>
      <c r="V9" s="225">
        <v>32</v>
      </c>
      <c r="W9" s="227"/>
      <c r="X9" s="226"/>
      <c r="Y9" s="74"/>
      <c r="Z9" s="225">
        <v>18</v>
      </c>
      <c r="AA9" s="248" t="s">
        <v>2204</v>
      </c>
      <c r="AB9" s="226">
        <v>23862</v>
      </c>
      <c r="AC9" s="205"/>
      <c r="AD9" s="309">
        <v>6</v>
      </c>
      <c r="AE9" s="3" t="s">
        <v>2199</v>
      </c>
      <c r="AF9" s="308">
        <v>25625</v>
      </c>
      <c r="AG9" s="25"/>
      <c r="AH9" s="253" t="s">
        <v>2170</v>
      </c>
    </row>
    <row r="10" spans="1:35" x14ac:dyDescent="0.55000000000000004">
      <c r="A10" s="261" t="s">
        <v>2205</v>
      </c>
      <c r="B10" s="252"/>
      <c r="C10" s="243">
        <v>46143</v>
      </c>
      <c r="D10" s="251"/>
      <c r="E10" s="265" t="s">
        <v>116</v>
      </c>
      <c r="F10" s="264" t="s">
        <v>2206</v>
      </c>
      <c r="G10" s="264" t="s">
        <v>57</v>
      </c>
      <c r="H10" s="92" t="str">
        <f>VLOOKUP(G10,บัญชีโอน!$B:$D,3,FALSE)</f>
        <v>BBL</v>
      </c>
      <c r="I10" s="263"/>
      <c r="J10" s="263">
        <v>2500</v>
      </c>
      <c r="K10" s="127">
        <f t="shared" si="1"/>
        <v>2584691.5999999978</v>
      </c>
      <c r="L10" s="188"/>
      <c r="M10" s="30"/>
      <c r="N10" s="30"/>
      <c r="O10" s="30"/>
      <c r="P10" s="30"/>
      <c r="Q10" s="262"/>
      <c r="R10" s="242">
        <v>7</v>
      </c>
      <c r="S10" s="249" t="s">
        <v>2207</v>
      </c>
      <c r="T10" s="226">
        <v>534600</v>
      </c>
      <c r="U10" s="26"/>
      <c r="V10" s="228">
        <v>33</v>
      </c>
      <c r="W10" s="227"/>
      <c r="X10" s="226"/>
      <c r="Y10" s="74"/>
      <c r="Z10" s="225">
        <v>19</v>
      </c>
      <c r="AA10" s="248" t="s">
        <v>2208</v>
      </c>
      <c r="AB10" s="226">
        <v>11556</v>
      </c>
      <c r="AC10" s="205"/>
      <c r="AD10" s="309">
        <v>7</v>
      </c>
      <c r="AE10" s="3" t="s">
        <v>2198</v>
      </c>
      <c r="AF10" s="308">
        <v>766950</v>
      </c>
      <c r="AG10" s="25"/>
      <c r="AH10" s="253" t="s">
        <v>468</v>
      </c>
    </row>
    <row r="11" spans="1:35" x14ac:dyDescent="0.55000000000000004">
      <c r="A11" s="261" t="s">
        <v>2209</v>
      </c>
      <c r="B11" s="252"/>
      <c r="C11" s="243">
        <v>46146</v>
      </c>
      <c r="D11" s="251"/>
      <c r="E11" s="195" t="s">
        <v>113</v>
      </c>
      <c r="F11" s="260" t="s">
        <v>2210</v>
      </c>
      <c r="G11" s="203" t="s">
        <v>110</v>
      </c>
      <c r="H11" s="92" t="str">
        <f>VLOOKUP(G11,บัญชีโอน!$B:$D,3,FALSE)</f>
        <v>P-Pay</v>
      </c>
      <c r="I11" s="259"/>
      <c r="J11" s="127">
        <v>4000</v>
      </c>
      <c r="K11" s="127">
        <f>K10+I11-J11</f>
        <v>2580691.5999999978</v>
      </c>
      <c r="L11" s="146"/>
      <c r="M11" s="58">
        <f>C9</f>
        <v>46143</v>
      </c>
      <c r="N11" s="57" t="s">
        <v>2092</v>
      </c>
      <c r="O11" s="57" t="s">
        <v>2091</v>
      </c>
      <c r="P11" s="57" t="s">
        <v>2090</v>
      </c>
      <c r="Q11" s="30">
        <v>1</v>
      </c>
      <c r="R11" s="242">
        <v>8</v>
      </c>
      <c r="S11" s="249" t="s">
        <v>422</v>
      </c>
      <c r="T11" s="226">
        <v>308972</v>
      </c>
      <c r="U11" s="26"/>
      <c r="V11" s="225">
        <v>34</v>
      </c>
      <c r="W11" s="227"/>
      <c r="X11" s="226"/>
      <c r="Y11" s="74"/>
      <c r="Z11" s="225">
        <v>20</v>
      </c>
      <c r="AA11" s="248" t="s">
        <v>113</v>
      </c>
      <c r="AB11" s="226">
        <v>10500</v>
      </c>
      <c r="AC11" s="205"/>
      <c r="AD11" s="309">
        <v>8</v>
      </c>
      <c r="AE11" s="310" t="s">
        <v>2211</v>
      </c>
      <c r="AF11" s="311">
        <v>11820</v>
      </c>
      <c r="AG11" s="25"/>
      <c r="AH11" s="253" t="s">
        <v>2169</v>
      </c>
    </row>
    <row r="12" spans="1:35" ht="24.75" thickBot="1" x14ac:dyDescent="0.6">
      <c r="A12" s="258" t="s">
        <v>2212</v>
      </c>
      <c r="B12" s="257"/>
      <c r="C12" s="256">
        <v>46146</v>
      </c>
      <c r="D12" s="255"/>
      <c r="E12" s="254" t="s">
        <v>113</v>
      </c>
      <c r="F12" s="254" t="s">
        <v>2213</v>
      </c>
      <c r="G12" s="254" t="s">
        <v>1721</v>
      </c>
      <c r="H12" s="94" t="str">
        <f>VLOOKUP(G12,บัญชีโอน!$B:$D,3,FALSE)</f>
        <v>BBL</v>
      </c>
      <c r="I12" s="132"/>
      <c r="J12" s="132">
        <v>6500</v>
      </c>
      <c r="K12" s="214">
        <f t="shared" si="1"/>
        <v>2574191.5999999978</v>
      </c>
      <c r="L12" s="146"/>
      <c r="M12" s="48" t="s">
        <v>2089</v>
      </c>
      <c r="N12" s="47">
        <f>SUM(I4:I12)</f>
        <v>0</v>
      </c>
      <c r="O12" s="47">
        <f>SUM(J4:J12)</f>
        <v>1013000</v>
      </c>
      <c r="P12" s="47">
        <f>2000000-O12</f>
        <v>987000</v>
      </c>
      <c r="Q12" s="30"/>
      <c r="R12" s="242">
        <v>9</v>
      </c>
      <c r="S12" s="249" t="s">
        <v>2214</v>
      </c>
      <c r="T12" s="226">
        <v>270500</v>
      </c>
      <c r="U12" s="26"/>
      <c r="V12" s="228">
        <v>35</v>
      </c>
      <c r="W12" s="227"/>
      <c r="X12" s="226"/>
      <c r="Y12" s="74"/>
      <c r="Z12" s="225">
        <v>21</v>
      </c>
      <c r="AA12" s="248" t="s">
        <v>2215</v>
      </c>
      <c r="AB12" s="226">
        <v>10102</v>
      </c>
      <c r="AC12" s="205"/>
      <c r="AD12" s="309">
        <v>9</v>
      </c>
      <c r="AE12" s="3" t="s">
        <v>2139</v>
      </c>
      <c r="AF12" s="308">
        <v>200000</v>
      </c>
      <c r="AG12" s="25"/>
      <c r="AH12" s="253" t="b">
        <v>1</v>
      </c>
    </row>
    <row r="13" spans="1:35" ht="24.75" thickTop="1" x14ac:dyDescent="0.55000000000000004">
      <c r="A13" s="244" t="s">
        <v>2216</v>
      </c>
      <c r="B13" s="252"/>
      <c r="C13" s="243">
        <v>46147</v>
      </c>
      <c r="D13" s="251"/>
      <c r="E13" s="68" t="s">
        <v>740</v>
      </c>
      <c r="F13" s="100" t="s">
        <v>2217</v>
      </c>
      <c r="G13" s="93" t="s">
        <v>740</v>
      </c>
      <c r="H13" s="96" t="str">
        <f>VLOOKUP(G13,บัญชีโอน!$B:$D,3,FALSE)</f>
        <v>KTB</v>
      </c>
      <c r="I13" s="135"/>
      <c r="J13" s="135">
        <v>17920</v>
      </c>
      <c r="K13" s="130">
        <f>K12+I13-J13</f>
        <v>2556271.5999999978</v>
      </c>
      <c r="L13" s="146"/>
      <c r="M13" s="48"/>
      <c r="N13" s="83"/>
      <c r="O13" s="83"/>
      <c r="P13" s="83"/>
      <c r="Q13" s="30"/>
      <c r="R13" s="242">
        <v>10</v>
      </c>
      <c r="S13" s="249" t="s">
        <v>575</v>
      </c>
      <c r="T13" s="226">
        <v>200569</v>
      </c>
      <c r="U13" s="26"/>
      <c r="V13" s="225">
        <v>36</v>
      </c>
      <c r="W13" s="227"/>
      <c r="X13" s="226"/>
      <c r="Y13" s="74"/>
      <c r="Z13" s="225">
        <v>22</v>
      </c>
      <c r="AA13" s="248" t="s">
        <v>2136</v>
      </c>
      <c r="AB13" s="226">
        <v>6754</v>
      </c>
      <c r="AC13" s="205"/>
      <c r="AD13" s="309">
        <v>10</v>
      </c>
      <c r="AE13" s="310" t="s">
        <v>2125</v>
      </c>
      <c r="AF13" s="311">
        <v>78360</v>
      </c>
      <c r="AG13" s="25"/>
      <c r="AH13" s="250" t="s">
        <v>10</v>
      </c>
    </row>
    <row r="14" spans="1:35" x14ac:dyDescent="0.55000000000000004">
      <c r="A14" s="244" t="s">
        <v>2218</v>
      </c>
      <c r="B14" s="252"/>
      <c r="C14" s="243">
        <v>46147</v>
      </c>
      <c r="D14" s="251"/>
      <c r="E14" s="195" t="s">
        <v>1514</v>
      </c>
      <c r="F14" s="60" t="s">
        <v>2219</v>
      </c>
      <c r="G14" s="203" t="s">
        <v>1518</v>
      </c>
      <c r="H14" s="92" t="str">
        <f>VLOOKUP(G14,บัญชีโอน!$B:$D,3,FALSE)</f>
        <v>TTB</v>
      </c>
      <c r="I14" s="127"/>
      <c r="J14" s="127">
        <v>7200</v>
      </c>
      <c r="K14" s="127">
        <f>K13+I14-J14</f>
        <v>2549071.5999999978</v>
      </c>
      <c r="L14" s="146"/>
      <c r="M14" s="48"/>
      <c r="N14" s="81"/>
      <c r="O14" s="81"/>
      <c r="P14" s="81"/>
      <c r="Q14" s="30"/>
      <c r="R14" s="242">
        <v>11</v>
      </c>
      <c r="S14" s="249" t="s">
        <v>2139</v>
      </c>
      <c r="T14" s="226">
        <v>200000</v>
      </c>
      <c r="U14" s="26"/>
      <c r="V14" s="228">
        <v>37</v>
      </c>
      <c r="W14" s="227"/>
      <c r="X14" s="226"/>
      <c r="Y14" s="74"/>
      <c r="Z14" s="225">
        <v>23</v>
      </c>
      <c r="AA14" s="248" t="s">
        <v>116</v>
      </c>
      <c r="AB14" s="226">
        <v>3568.93</v>
      </c>
      <c r="AC14" s="205"/>
      <c r="AD14" s="309">
        <v>11</v>
      </c>
      <c r="AE14" s="3" t="s">
        <v>1654</v>
      </c>
      <c r="AF14" s="308">
        <v>600000</v>
      </c>
      <c r="AG14" s="25"/>
    </row>
    <row r="15" spans="1:35" x14ac:dyDescent="0.55000000000000004">
      <c r="A15" s="244" t="s">
        <v>2220</v>
      </c>
      <c r="B15" s="246"/>
      <c r="C15" s="243">
        <v>46147</v>
      </c>
      <c r="D15" s="245"/>
      <c r="E15" s="195" t="s">
        <v>2138</v>
      </c>
      <c r="F15" s="68" t="s">
        <v>2221</v>
      </c>
      <c r="G15" s="195" t="s">
        <v>793</v>
      </c>
      <c r="H15" s="92" t="str">
        <f>VLOOKUP(G15,บัญชีโอน!$B:$D,3,FALSE)</f>
        <v>P-Pay</v>
      </c>
      <c r="I15" s="135"/>
      <c r="J15" s="135">
        <v>6754</v>
      </c>
      <c r="K15" s="127">
        <f t="shared" ref="K15:K21" si="2">K14+I15-J15</f>
        <v>2542317.5999999978</v>
      </c>
      <c r="L15" s="146"/>
      <c r="M15" s="48"/>
      <c r="N15" s="81"/>
      <c r="O15" s="81"/>
      <c r="P15" s="81"/>
      <c r="Q15" s="30"/>
      <c r="R15" s="242">
        <v>12</v>
      </c>
      <c r="S15" s="249" t="s">
        <v>128</v>
      </c>
      <c r="T15" s="226">
        <v>176901</v>
      </c>
      <c r="U15" s="26"/>
      <c r="V15" s="225">
        <v>38</v>
      </c>
      <c r="W15" s="227"/>
      <c r="X15" s="226"/>
      <c r="Y15" s="74"/>
      <c r="Z15" s="225">
        <v>24</v>
      </c>
      <c r="AA15" s="248" t="s">
        <v>2222</v>
      </c>
      <c r="AB15" s="226">
        <v>2247</v>
      </c>
      <c r="AC15" s="205"/>
      <c r="AD15" s="309">
        <v>12</v>
      </c>
      <c r="AE15" s="310" t="s">
        <v>2118</v>
      </c>
      <c r="AF15" s="311">
        <v>1000000</v>
      </c>
      <c r="AG15" s="25"/>
      <c r="AH15" s="247" t="s">
        <v>2152</v>
      </c>
      <c r="AI15" s="209"/>
    </row>
    <row r="16" spans="1:35" x14ac:dyDescent="0.55000000000000004">
      <c r="A16" s="244" t="s">
        <v>2223</v>
      </c>
      <c r="B16" s="246"/>
      <c r="C16" s="243">
        <v>46147</v>
      </c>
      <c r="D16" s="245"/>
      <c r="E16" s="195" t="s">
        <v>718</v>
      </c>
      <c r="F16" s="60" t="s">
        <v>2224</v>
      </c>
      <c r="G16" s="203" t="s">
        <v>718</v>
      </c>
      <c r="H16" s="92" t="str">
        <f>VLOOKUP(G16,บัญชีโอน!$B:$D,3,FALSE)</f>
        <v>Kbank</v>
      </c>
      <c r="I16" s="135"/>
      <c r="J16" s="135">
        <v>131670</v>
      </c>
      <c r="K16" s="127">
        <f t="shared" si="2"/>
        <v>2410647.5999999978</v>
      </c>
      <c r="L16" s="146"/>
      <c r="M16" s="48"/>
      <c r="N16" s="81"/>
      <c r="O16" s="81"/>
      <c r="P16" s="81"/>
      <c r="Q16" s="30"/>
      <c r="R16" s="242">
        <v>13</v>
      </c>
      <c r="S16" s="241" t="s">
        <v>680</v>
      </c>
      <c r="T16" s="220">
        <v>141406</v>
      </c>
      <c r="U16" s="26"/>
      <c r="V16" s="228">
        <v>39</v>
      </c>
      <c r="W16" s="227"/>
      <c r="X16" s="226"/>
      <c r="Y16" s="74"/>
      <c r="Z16" s="222">
        <v>25</v>
      </c>
      <c r="AA16" s="235" t="s">
        <v>2111</v>
      </c>
      <c r="AB16" s="220">
        <v>2140</v>
      </c>
      <c r="AC16" s="205"/>
      <c r="AD16" s="309">
        <v>13</v>
      </c>
      <c r="AE16" s="312" t="s">
        <v>2126</v>
      </c>
      <c r="AF16" s="313">
        <v>1367824</v>
      </c>
      <c r="AG16" s="25"/>
      <c r="AH16" s="210" t="s">
        <v>2167</v>
      </c>
      <c r="AI16" s="209"/>
    </row>
    <row r="17" spans="1:35" ht="24.75" thickBot="1" x14ac:dyDescent="0.6">
      <c r="A17" s="244" t="s">
        <v>2225</v>
      </c>
      <c r="B17" s="246"/>
      <c r="C17" s="243">
        <v>46147</v>
      </c>
      <c r="D17" s="245"/>
      <c r="E17" s="195" t="s">
        <v>2146</v>
      </c>
      <c r="F17" s="68" t="s">
        <v>2226</v>
      </c>
      <c r="G17" s="195" t="s">
        <v>57</v>
      </c>
      <c r="H17" s="92" t="str">
        <f>VLOOKUP(G17,บัญชีโอน!$B:$D,3,FALSE)</f>
        <v>BBL</v>
      </c>
      <c r="I17" s="135"/>
      <c r="J17" s="135">
        <v>115707</v>
      </c>
      <c r="K17" s="127">
        <f t="shared" si="2"/>
        <v>2294940.5999999978</v>
      </c>
      <c r="L17" s="146"/>
      <c r="M17" s="48"/>
      <c r="N17" s="81"/>
      <c r="O17" s="81"/>
      <c r="P17" s="81"/>
      <c r="Q17" s="30"/>
      <c r="R17" s="232" t="s">
        <v>2157</v>
      </c>
      <c r="S17" s="231"/>
      <c r="T17" s="230">
        <f>SUM(T4:T16)</f>
        <v>11619300.66</v>
      </c>
      <c r="U17" s="26"/>
      <c r="V17" s="225">
        <v>50</v>
      </c>
      <c r="W17" s="227"/>
      <c r="X17" s="226"/>
      <c r="Y17" s="26"/>
      <c r="Z17" s="218" t="s">
        <v>2164</v>
      </c>
      <c r="AA17" s="218"/>
      <c r="AB17" s="229">
        <f>SUM(AB4:AB16)</f>
        <v>11990262.59</v>
      </c>
      <c r="AC17" s="205"/>
      <c r="AD17" s="309">
        <v>14</v>
      </c>
      <c r="AE17" s="314" t="s">
        <v>2227</v>
      </c>
      <c r="AF17" s="315">
        <v>2140</v>
      </c>
      <c r="AG17" s="25"/>
      <c r="AH17" s="210" t="s">
        <v>2166</v>
      </c>
      <c r="AI17" s="209"/>
    </row>
    <row r="18" spans="1:35" ht="24.75" thickTop="1" x14ac:dyDescent="0.55000000000000004">
      <c r="A18" s="244" t="s">
        <v>2228</v>
      </c>
      <c r="B18" s="246"/>
      <c r="C18" s="243">
        <v>46147</v>
      </c>
      <c r="D18" s="245"/>
      <c r="E18" s="195" t="s">
        <v>134</v>
      </c>
      <c r="F18" s="68" t="s">
        <v>2229</v>
      </c>
      <c r="G18" s="195" t="s">
        <v>1694</v>
      </c>
      <c r="H18" s="92" t="str">
        <f>VLOOKUP(G18,บัญชีโอน!$B:$D,3,FALSE)</f>
        <v>อิสลาม</v>
      </c>
      <c r="I18" s="135"/>
      <c r="J18" s="135">
        <v>5450</v>
      </c>
      <c r="K18" s="127">
        <f t="shared" si="2"/>
        <v>2289490.5999999978</v>
      </c>
      <c r="L18" s="146"/>
      <c r="M18" s="48"/>
      <c r="N18" s="81"/>
      <c r="O18" s="81"/>
      <c r="P18" s="81"/>
      <c r="Q18" s="30"/>
      <c r="R18" s="26"/>
      <c r="S18" s="74"/>
      <c r="T18" s="213"/>
      <c r="U18" s="26"/>
      <c r="V18" s="228">
        <v>51</v>
      </c>
      <c r="W18" s="227"/>
      <c r="X18" s="226"/>
      <c r="Y18" s="26"/>
      <c r="Z18" s="26"/>
      <c r="AA18" s="26"/>
      <c r="AB18" s="26"/>
      <c r="AD18" s="309">
        <v>15</v>
      </c>
      <c r="AE18" s="3" t="s">
        <v>116</v>
      </c>
      <c r="AF18" s="308">
        <v>3568.93</v>
      </c>
      <c r="AG18" s="25"/>
      <c r="AH18" s="210" t="s">
        <v>2165</v>
      </c>
      <c r="AI18" s="209"/>
    </row>
    <row r="19" spans="1:35" x14ac:dyDescent="0.55000000000000004">
      <c r="A19" s="244" t="s">
        <v>2230</v>
      </c>
      <c r="B19" s="246"/>
      <c r="C19" s="243">
        <v>46147</v>
      </c>
      <c r="D19" s="245"/>
      <c r="E19" s="195" t="s">
        <v>2126</v>
      </c>
      <c r="F19" s="68" t="s">
        <v>2231</v>
      </c>
      <c r="G19" s="195" t="s">
        <v>159</v>
      </c>
      <c r="H19" s="92" t="str">
        <f>VLOOKUP(G19,บัญชีโอน!$B:$D,3,FALSE)</f>
        <v>MIZUHO</v>
      </c>
      <c r="I19" s="135"/>
      <c r="J19" s="135">
        <v>379368</v>
      </c>
      <c r="K19" s="127">
        <f t="shared" si="2"/>
        <v>1910122.5999999978</v>
      </c>
      <c r="L19" s="146"/>
      <c r="M19" s="48"/>
      <c r="N19" s="81"/>
      <c r="O19" s="81"/>
      <c r="P19" s="81"/>
      <c r="Q19" s="30"/>
      <c r="R19" s="26"/>
      <c r="S19" s="74"/>
      <c r="T19" s="213"/>
      <c r="U19" s="26"/>
      <c r="V19" s="225">
        <v>52</v>
      </c>
      <c r="W19" s="224"/>
      <c r="X19" s="223"/>
      <c r="Y19" s="26"/>
      <c r="Z19" s="26"/>
      <c r="AA19" s="216" t="s">
        <v>2161</v>
      </c>
      <c r="AB19" s="74">
        <f>K4</f>
        <v>3587191.5999999978</v>
      </c>
      <c r="AD19" s="309">
        <v>16</v>
      </c>
      <c r="AE19" s="316" t="s">
        <v>118</v>
      </c>
      <c r="AF19" s="317">
        <v>10480</v>
      </c>
      <c r="AG19" s="25"/>
      <c r="AH19" s="210" t="s">
        <v>2163</v>
      </c>
      <c r="AI19" s="209"/>
    </row>
    <row r="20" spans="1:35" x14ac:dyDescent="0.55000000000000004">
      <c r="A20" s="244" t="s">
        <v>2232</v>
      </c>
      <c r="B20" s="246"/>
      <c r="C20" s="243">
        <v>46147</v>
      </c>
      <c r="D20" s="245"/>
      <c r="E20" s="195" t="s">
        <v>1349</v>
      </c>
      <c r="F20" s="68" t="s">
        <v>2233</v>
      </c>
      <c r="G20" s="195" t="s">
        <v>1349</v>
      </c>
      <c r="H20" s="92" t="str">
        <f>VLOOKUP(G20,บัญชีโอน!$B:$D,3,FALSE)</f>
        <v>Kbank</v>
      </c>
      <c r="I20" s="135"/>
      <c r="J20" s="135">
        <v>390300</v>
      </c>
      <c r="K20" s="127">
        <f t="shared" si="2"/>
        <v>1519822.5999999978</v>
      </c>
      <c r="L20" s="146"/>
      <c r="M20" s="48"/>
      <c r="N20" s="81"/>
      <c r="O20" s="81"/>
      <c r="P20" s="81"/>
      <c r="Q20" s="30"/>
      <c r="R20" s="26"/>
      <c r="S20" s="74"/>
      <c r="T20" s="213"/>
      <c r="U20" s="26"/>
      <c r="V20" s="222">
        <v>53</v>
      </c>
      <c r="W20" s="221"/>
      <c r="X20" s="220"/>
      <c r="Y20" s="26"/>
      <c r="Z20" s="26"/>
      <c r="AA20" s="30" t="s">
        <v>2159</v>
      </c>
      <c r="AB20" s="74">
        <f>I224</f>
        <v>12480724</v>
      </c>
      <c r="AD20" s="309">
        <v>17</v>
      </c>
      <c r="AE20" s="3" t="s">
        <v>680</v>
      </c>
      <c r="AF20" s="308">
        <v>141406</v>
      </c>
      <c r="AG20" s="25"/>
      <c r="AH20" s="210" t="s">
        <v>2162</v>
      </c>
      <c r="AI20" s="209">
        <v>600091</v>
      </c>
    </row>
    <row r="21" spans="1:35" ht="24.75" thickBot="1" x14ac:dyDescent="0.6">
      <c r="A21" s="244" t="s">
        <v>2234</v>
      </c>
      <c r="B21" s="246"/>
      <c r="C21" s="243">
        <v>46147</v>
      </c>
      <c r="D21" s="245"/>
      <c r="E21" s="153" t="s">
        <v>2126</v>
      </c>
      <c r="F21" s="153" t="s">
        <v>2235</v>
      </c>
      <c r="G21" s="68" t="s">
        <v>1338</v>
      </c>
      <c r="H21" s="92" t="str">
        <f>VLOOKUP(G21,บัญชีโอน!$B:$D,3,FALSE)</f>
        <v>BBL</v>
      </c>
      <c r="I21" s="135"/>
      <c r="J21" s="135">
        <v>15789</v>
      </c>
      <c r="K21" s="127">
        <f t="shared" si="2"/>
        <v>1504033.5999999978</v>
      </c>
      <c r="L21" s="146"/>
      <c r="M21" s="48"/>
      <c r="N21" s="81"/>
      <c r="O21" s="81"/>
      <c r="P21" s="81"/>
      <c r="Q21" s="30"/>
      <c r="R21" s="26"/>
      <c r="S21" s="74"/>
      <c r="T21" s="213"/>
      <c r="U21" s="26"/>
      <c r="V21" s="218" t="s">
        <v>2157</v>
      </c>
      <c r="W21" s="218"/>
      <c r="X21" s="217">
        <f>SUM(X4:X20)</f>
        <v>11619300.66</v>
      </c>
      <c r="Y21" s="26"/>
      <c r="Z21" s="26"/>
      <c r="AA21" s="216" t="s">
        <v>2156</v>
      </c>
      <c r="AB21" s="215">
        <f>-AB17</f>
        <v>-11990262.59</v>
      </c>
      <c r="AD21" s="309">
        <v>18</v>
      </c>
      <c r="AE21" s="310" t="s">
        <v>2130</v>
      </c>
      <c r="AF21" s="311">
        <v>661712</v>
      </c>
      <c r="AG21" s="25"/>
      <c r="AH21" s="210" t="s">
        <v>2160</v>
      </c>
      <c r="AI21" s="209"/>
    </row>
    <row r="22" spans="1:35" ht="25.5" thickTop="1" thickBot="1" x14ac:dyDescent="0.6">
      <c r="A22" s="244" t="s">
        <v>2236</v>
      </c>
      <c r="B22" s="163"/>
      <c r="C22" s="243">
        <v>46147</v>
      </c>
      <c r="D22" s="219"/>
      <c r="E22" s="153" t="s">
        <v>2126</v>
      </c>
      <c r="F22" s="195" t="s">
        <v>2237</v>
      </c>
      <c r="G22" s="195" t="s">
        <v>1125</v>
      </c>
      <c r="H22" s="92" t="str">
        <f>VLOOKUP(G22,บัญชีโอน!$B:$D,3,FALSE)</f>
        <v>Kbank</v>
      </c>
      <c r="I22" s="135"/>
      <c r="J22" s="135">
        <v>5800</v>
      </c>
      <c r="K22" s="127">
        <f>K21+I22-J22</f>
        <v>1498233.5999999978</v>
      </c>
      <c r="L22" s="188"/>
      <c r="M22" s="58">
        <f>C13</f>
        <v>46147</v>
      </c>
      <c r="N22" s="57" t="s">
        <v>2092</v>
      </c>
      <c r="O22" s="57" t="s">
        <v>2091</v>
      </c>
      <c r="P22" s="57" t="s">
        <v>2090</v>
      </c>
      <c r="Q22" s="30">
        <v>2</v>
      </c>
      <c r="R22" s="26"/>
      <c r="S22" s="74"/>
      <c r="T22" s="213"/>
      <c r="U22" s="26"/>
      <c r="V22" s="26"/>
      <c r="W22" s="26"/>
      <c r="X22" s="26"/>
      <c r="Y22" s="26"/>
      <c r="Z22" s="26"/>
      <c r="AA22" s="212" t="s">
        <v>2154</v>
      </c>
      <c r="AB22" s="211">
        <f>SUM(AB19:AB21)</f>
        <v>4077653.0099999979</v>
      </c>
      <c r="AC22" s="81">
        <f>K223-AB22</f>
        <v>0</v>
      </c>
      <c r="AD22" s="309">
        <v>19</v>
      </c>
      <c r="AE22" s="318" t="s">
        <v>2238</v>
      </c>
      <c r="AF22" s="319">
        <v>600091</v>
      </c>
      <c r="AG22" s="25"/>
      <c r="AH22" s="210" t="s">
        <v>2158</v>
      </c>
      <c r="AI22" s="209"/>
    </row>
    <row r="23" spans="1:35" ht="25.5" thickTop="1" thickBot="1" x14ac:dyDescent="0.6">
      <c r="A23" s="240" t="s">
        <v>2239</v>
      </c>
      <c r="B23" s="163"/>
      <c r="C23" s="239">
        <v>46147</v>
      </c>
      <c r="D23" s="238"/>
      <c r="E23" s="108" t="s">
        <v>128</v>
      </c>
      <c r="F23" s="108" t="s">
        <v>2240</v>
      </c>
      <c r="G23" s="108" t="s">
        <v>1157</v>
      </c>
      <c r="H23" s="320" t="str">
        <f>VLOOKUP(G23,บัญชีโอน!$B:$D,3,FALSE)</f>
        <v>Kbank</v>
      </c>
      <c r="I23" s="237"/>
      <c r="J23" s="237">
        <v>38340</v>
      </c>
      <c r="K23" s="236">
        <f t="shared" ref="K23:K25" si="3">K22+I23-J23</f>
        <v>1459893.5999999978</v>
      </c>
      <c r="L23" s="188"/>
      <c r="M23" s="48" t="s">
        <v>2089</v>
      </c>
      <c r="N23" s="47">
        <f>SUM(I13:I23)</f>
        <v>0</v>
      </c>
      <c r="O23" s="47">
        <f>SUM(J13:J23)</f>
        <v>1114298</v>
      </c>
      <c r="P23" s="47">
        <f>2000000-O23</f>
        <v>885702</v>
      </c>
      <c r="Q23" s="30"/>
      <c r="AC23" s="205"/>
      <c r="AD23" s="309">
        <v>20</v>
      </c>
      <c r="AE23" s="310" t="s">
        <v>2241</v>
      </c>
      <c r="AF23" s="311">
        <v>45000</v>
      </c>
      <c r="AG23" s="25"/>
      <c r="AH23" s="210" t="s">
        <v>2155</v>
      </c>
      <c r="AI23" s="209"/>
    </row>
    <row r="24" spans="1:35" ht="24.75" thickTop="1" x14ac:dyDescent="0.55000000000000004">
      <c r="A24" s="131"/>
      <c r="B24" s="157"/>
      <c r="C24" s="234">
        <v>46148</v>
      </c>
      <c r="D24" s="233"/>
      <c r="E24" s="77" t="s">
        <v>2122</v>
      </c>
      <c r="F24" s="77" t="s">
        <v>2121</v>
      </c>
      <c r="G24" s="77"/>
      <c r="H24" s="138" t="e">
        <f>VLOOKUP(G24,บัญชีโอน!$B:$D,3,FALSE)</f>
        <v>#N/A</v>
      </c>
      <c r="I24" s="130">
        <v>3000000</v>
      </c>
      <c r="J24" s="130"/>
      <c r="K24" s="130">
        <f t="shared" si="3"/>
        <v>4459893.5999999978</v>
      </c>
      <c r="L24" s="188"/>
      <c r="M24" s="48"/>
      <c r="N24" s="83"/>
      <c r="O24" s="83"/>
      <c r="P24" s="83"/>
      <c r="Q24" s="30"/>
      <c r="AC24" s="205"/>
      <c r="AD24" s="309">
        <v>21</v>
      </c>
      <c r="AE24" s="3" t="s">
        <v>2222</v>
      </c>
      <c r="AF24" s="308">
        <v>2247</v>
      </c>
      <c r="AG24" s="25"/>
      <c r="AH24" s="210" t="s">
        <v>2153</v>
      </c>
      <c r="AI24" s="209"/>
    </row>
    <row r="25" spans="1:35" x14ac:dyDescent="0.55000000000000004">
      <c r="A25" s="125" t="s">
        <v>2242</v>
      </c>
      <c r="B25" s="196"/>
      <c r="C25" s="70">
        <v>46148</v>
      </c>
      <c r="D25" s="219"/>
      <c r="E25" s="195" t="s">
        <v>718</v>
      </c>
      <c r="F25" s="68" t="s">
        <v>2243</v>
      </c>
      <c r="G25" s="195" t="s">
        <v>718</v>
      </c>
      <c r="H25" s="96" t="str">
        <f>VLOOKUP(G25,บัญชีโอน!$B:$D,3,FALSE)</f>
        <v>Kbank</v>
      </c>
      <c r="I25" s="135"/>
      <c r="J25" s="135">
        <v>75240</v>
      </c>
      <c r="K25" s="135">
        <f t="shared" si="3"/>
        <v>4384653.5999999978</v>
      </c>
      <c r="L25" s="188"/>
      <c r="M25" s="48"/>
      <c r="N25" s="81"/>
      <c r="O25" s="81"/>
      <c r="P25" s="81"/>
      <c r="Q25" s="30"/>
      <c r="AC25" s="206"/>
      <c r="AD25" s="309">
        <v>22</v>
      </c>
      <c r="AE25" s="312" t="s">
        <v>2244</v>
      </c>
      <c r="AF25" s="313">
        <v>25000</v>
      </c>
      <c r="AG25" s="25"/>
      <c r="AH25" s="210" t="s">
        <v>998</v>
      </c>
      <c r="AI25" s="209"/>
    </row>
    <row r="26" spans="1:35" ht="24.75" thickBot="1" x14ac:dyDescent="0.6">
      <c r="A26" s="125" t="s">
        <v>2245</v>
      </c>
      <c r="B26" s="196"/>
      <c r="C26" s="70">
        <v>46148</v>
      </c>
      <c r="D26" s="219"/>
      <c r="E26" s="68" t="s">
        <v>270</v>
      </c>
      <c r="F26" s="167" t="s">
        <v>2246</v>
      </c>
      <c r="G26" s="68" t="s">
        <v>270</v>
      </c>
      <c r="H26" s="92" t="str">
        <f>VLOOKUP(G26,บัญชีโอน!$B:$D,3,FALSE)</f>
        <v>Kbank</v>
      </c>
      <c r="I26" s="135"/>
      <c r="J26" s="135">
        <v>56430</v>
      </c>
      <c r="K26" s="135">
        <f t="shared" si="1"/>
        <v>4328223.5999999978</v>
      </c>
      <c r="L26" s="188"/>
      <c r="M26" s="48"/>
      <c r="N26" s="81"/>
      <c r="O26" s="81"/>
      <c r="P26" s="81"/>
      <c r="Q26" s="30"/>
      <c r="AC26" s="205"/>
      <c r="AD26" s="309">
        <v>23</v>
      </c>
      <c r="AE26" s="3" t="s">
        <v>2208</v>
      </c>
      <c r="AF26" s="308">
        <v>11556</v>
      </c>
      <c r="AG26" s="25"/>
      <c r="AH26" s="208" t="s">
        <v>2152</v>
      </c>
      <c r="AI26" s="207">
        <f>SUM(AI16:AI25)</f>
        <v>600091</v>
      </c>
    </row>
    <row r="27" spans="1:35" ht="24.75" thickTop="1" x14ac:dyDescent="0.55000000000000004">
      <c r="A27" s="125" t="s">
        <v>2247</v>
      </c>
      <c r="B27" s="196"/>
      <c r="C27" s="70">
        <v>46148</v>
      </c>
      <c r="D27" s="219"/>
      <c r="E27" s="68" t="s">
        <v>756</v>
      </c>
      <c r="F27" s="167" t="s">
        <v>2248</v>
      </c>
      <c r="G27" s="68" t="s">
        <v>1212</v>
      </c>
      <c r="H27" s="92" t="str">
        <f>VLOOKUP(G27,บัญชีโอน!$B:$D,3,FALSE)</f>
        <v>BBL</v>
      </c>
      <c r="I27" s="135"/>
      <c r="J27" s="135">
        <v>37620</v>
      </c>
      <c r="K27" s="135">
        <f t="shared" si="1"/>
        <v>4290603.5999999978</v>
      </c>
      <c r="L27" s="188"/>
      <c r="M27" s="48"/>
      <c r="N27" s="81"/>
      <c r="O27" s="81"/>
      <c r="P27" s="81"/>
      <c r="Q27" s="30"/>
      <c r="AD27" s="309">
        <v>24</v>
      </c>
      <c r="AE27" s="310" t="s">
        <v>68</v>
      </c>
      <c r="AF27" s="311">
        <v>320000</v>
      </c>
      <c r="AG27" s="25"/>
      <c r="AI27" s="74"/>
    </row>
    <row r="28" spans="1:35" x14ac:dyDescent="0.55000000000000004">
      <c r="A28" s="125" t="s">
        <v>2249</v>
      </c>
      <c r="B28" s="196"/>
      <c r="C28" s="70">
        <v>46148</v>
      </c>
      <c r="D28" s="219"/>
      <c r="E28" s="68" t="s">
        <v>749</v>
      </c>
      <c r="F28" s="167" t="s">
        <v>2248</v>
      </c>
      <c r="G28" s="68" t="s">
        <v>749</v>
      </c>
      <c r="H28" s="92" t="str">
        <f>VLOOKUP(G28,บัญชีโอน!$B:$D,3,FALSE)</f>
        <v>Kbank</v>
      </c>
      <c r="I28" s="135"/>
      <c r="J28" s="135">
        <v>37620</v>
      </c>
      <c r="K28" s="135">
        <f t="shared" si="1"/>
        <v>4252983.5999999978</v>
      </c>
      <c r="L28" s="188"/>
      <c r="M28" s="48"/>
      <c r="N28" s="81"/>
      <c r="O28" s="81"/>
      <c r="P28" s="81"/>
      <c r="Q28" s="30"/>
      <c r="AD28" s="309">
        <v>25</v>
      </c>
      <c r="AE28" s="316" t="s">
        <v>210</v>
      </c>
      <c r="AF28" s="317">
        <v>23452</v>
      </c>
      <c r="AG28" s="25"/>
      <c r="AH28" s="204" t="s">
        <v>2140</v>
      </c>
      <c r="AI28" s="199"/>
    </row>
    <row r="29" spans="1:35" x14ac:dyDescent="0.55000000000000004">
      <c r="A29" s="125" t="s">
        <v>2250</v>
      </c>
      <c r="B29" s="196"/>
      <c r="C29" s="70">
        <v>46148</v>
      </c>
      <c r="D29" s="219"/>
      <c r="E29" s="68" t="s">
        <v>2005</v>
      </c>
      <c r="F29" s="167" t="s">
        <v>2248</v>
      </c>
      <c r="G29" s="68" t="s">
        <v>2005</v>
      </c>
      <c r="H29" s="92" t="str">
        <f>VLOOKUP(G29,บัญชีโอน!$B:$D,3,FALSE)</f>
        <v>Kbank</v>
      </c>
      <c r="I29" s="135"/>
      <c r="J29" s="135">
        <v>37620</v>
      </c>
      <c r="K29" s="135">
        <f t="shared" si="1"/>
        <v>4215363.5999999978</v>
      </c>
      <c r="L29" s="188"/>
      <c r="M29" s="48"/>
      <c r="N29" s="81"/>
      <c r="O29" s="81"/>
      <c r="P29" s="81"/>
      <c r="Q29" s="30"/>
      <c r="AD29" s="309">
        <v>26</v>
      </c>
      <c r="AE29" s="310" t="s">
        <v>908</v>
      </c>
      <c r="AF29" s="311">
        <v>495000</v>
      </c>
      <c r="AG29" s="25"/>
      <c r="AH29" s="200" t="s">
        <v>2151</v>
      </c>
      <c r="AI29" s="199"/>
    </row>
    <row r="30" spans="1:35" x14ac:dyDescent="0.55000000000000004">
      <c r="A30" s="125" t="s">
        <v>2251</v>
      </c>
      <c r="B30" s="196"/>
      <c r="C30" s="70">
        <v>46148</v>
      </c>
      <c r="D30" s="219"/>
      <c r="E30" s="68" t="s">
        <v>2100</v>
      </c>
      <c r="F30" s="167" t="s">
        <v>2252</v>
      </c>
      <c r="G30" s="68" t="s">
        <v>1270</v>
      </c>
      <c r="H30" s="92" t="str">
        <f>VLOOKUP(G30,บัญชีโอน!$B:$D,3,FALSE)</f>
        <v>Kbank</v>
      </c>
      <c r="I30" s="135"/>
      <c r="J30" s="135">
        <v>18810</v>
      </c>
      <c r="K30" s="135">
        <f t="shared" si="1"/>
        <v>4196553.5999999978</v>
      </c>
      <c r="L30" s="188"/>
      <c r="M30" s="48"/>
      <c r="N30" s="81"/>
      <c r="O30" s="81"/>
      <c r="P30" s="81"/>
      <c r="Q30" s="30"/>
      <c r="AD30" s="309">
        <v>27</v>
      </c>
      <c r="AE30" s="316" t="s">
        <v>270</v>
      </c>
      <c r="AF30" s="317">
        <v>56430</v>
      </c>
      <c r="AG30" s="25"/>
      <c r="AH30" s="200" t="s">
        <v>2150</v>
      </c>
      <c r="AI30" s="199"/>
    </row>
    <row r="31" spans="1:35" x14ac:dyDescent="0.55000000000000004">
      <c r="A31" s="125" t="s">
        <v>2253</v>
      </c>
      <c r="B31" s="196"/>
      <c r="C31" s="70">
        <v>46148</v>
      </c>
      <c r="D31" s="219"/>
      <c r="E31" s="68" t="s">
        <v>2094</v>
      </c>
      <c r="F31" s="167" t="s">
        <v>2252</v>
      </c>
      <c r="G31" s="68" t="s">
        <v>1913</v>
      </c>
      <c r="H31" s="92" t="str">
        <f>VLOOKUP(G31,บัญชีโอน!$B:$D,3,FALSE)</f>
        <v>TTB</v>
      </c>
      <c r="I31" s="135"/>
      <c r="J31" s="135">
        <v>18810</v>
      </c>
      <c r="K31" s="135">
        <f t="shared" si="1"/>
        <v>4177743.5999999978</v>
      </c>
      <c r="L31" s="188"/>
      <c r="M31" s="48"/>
      <c r="N31" s="81"/>
      <c r="O31" s="81"/>
      <c r="P31" s="81"/>
      <c r="Q31" s="30"/>
      <c r="AD31" s="309">
        <v>28</v>
      </c>
      <c r="AE31" s="310" t="s">
        <v>134</v>
      </c>
      <c r="AF31" s="311">
        <v>680077</v>
      </c>
      <c r="AG31" s="25"/>
      <c r="AH31" s="200" t="s">
        <v>2148</v>
      </c>
      <c r="AI31" s="199"/>
    </row>
    <row r="32" spans="1:35" x14ac:dyDescent="0.55000000000000004">
      <c r="A32" s="125" t="s">
        <v>2254</v>
      </c>
      <c r="B32" s="196"/>
      <c r="C32" s="70">
        <v>46148</v>
      </c>
      <c r="D32" s="219"/>
      <c r="E32" s="68" t="s">
        <v>1848</v>
      </c>
      <c r="F32" s="167" t="s">
        <v>2252</v>
      </c>
      <c r="G32" s="203" t="s">
        <v>1848</v>
      </c>
      <c r="H32" s="92" t="str">
        <f>VLOOKUP(G32,บัญชีโอน!$B:$D,3,FALSE)</f>
        <v>SCB</v>
      </c>
      <c r="I32" s="135"/>
      <c r="J32" s="135">
        <v>18810</v>
      </c>
      <c r="K32" s="135">
        <f t="shared" si="1"/>
        <v>4158933.5999999978</v>
      </c>
      <c r="L32" s="188"/>
      <c r="M32" s="48"/>
      <c r="N32" s="81"/>
      <c r="O32" s="81"/>
      <c r="P32" s="81"/>
      <c r="Q32" s="30"/>
      <c r="AD32" s="309">
        <v>29</v>
      </c>
      <c r="AE32" s="3" t="s">
        <v>2207</v>
      </c>
      <c r="AF32" s="308">
        <v>534600</v>
      </c>
      <c r="AG32" s="25"/>
      <c r="AH32" s="200" t="s">
        <v>2147</v>
      </c>
      <c r="AI32" s="199"/>
    </row>
    <row r="33" spans="1:35" x14ac:dyDescent="0.55000000000000004">
      <c r="A33" s="125" t="s">
        <v>2255</v>
      </c>
      <c r="B33" s="196"/>
      <c r="C33" s="70">
        <v>46148</v>
      </c>
      <c r="D33" s="219"/>
      <c r="E33" s="68" t="s">
        <v>1598</v>
      </c>
      <c r="F33" s="167" t="s">
        <v>2252</v>
      </c>
      <c r="G33" s="195" t="s">
        <v>1598</v>
      </c>
      <c r="H33" s="92" t="str">
        <f>VLOOKUP(G33,บัญชีโอน!$B:$D,3,FALSE)</f>
        <v>Kbank</v>
      </c>
      <c r="I33" s="135"/>
      <c r="J33" s="135">
        <v>18810</v>
      </c>
      <c r="K33" s="135">
        <f t="shared" si="1"/>
        <v>4140123.5999999978</v>
      </c>
      <c r="L33" s="188"/>
      <c r="M33" s="48"/>
      <c r="N33" s="81"/>
      <c r="O33" s="81"/>
      <c r="P33" s="81"/>
      <c r="Q33" s="30"/>
      <c r="AD33" s="309">
        <v>30</v>
      </c>
      <c r="AE33" s="3" t="s">
        <v>2192</v>
      </c>
      <c r="AF33" s="308">
        <v>133900</v>
      </c>
      <c r="AG33" s="25"/>
      <c r="AH33" s="200" t="s">
        <v>2145</v>
      </c>
      <c r="AI33" s="199"/>
    </row>
    <row r="34" spans="1:35" x14ac:dyDescent="0.55000000000000004">
      <c r="A34" s="125" t="s">
        <v>2256</v>
      </c>
      <c r="B34" s="196"/>
      <c r="C34" s="70">
        <v>46148</v>
      </c>
      <c r="D34" s="219"/>
      <c r="E34" s="60" t="s">
        <v>2041</v>
      </c>
      <c r="F34" s="167" t="s">
        <v>2252</v>
      </c>
      <c r="G34" s="68" t="s">
        <v>2041</v>
      </c>
      <c r="H34" s="92" t="str">
        <f>VLOOKUP(G34,บัญชีโอน!$B:$D,3,FALSE)</f>
        <v>TTB</v>
      </c>
      <c r="I34" s="135"/>
      <c r="J34" s="135">
        <v>18810</v>
      </c>
      <c r="K34" s="135">
        <f t="shared" si="1"/>
        <v>4121313.5999999978</v>
      </c>
      <c r="L34" s="188"/>
      <c r="M34" s="58">
        <f>C34</f>
        <v>46148</v>
      </c>
      <c r="N34" s="57" t="s">
        <v>2092</v>
      </c>
      <c r="O34" s="57" t="s">
        <v>2091</v>
      </c>
      <c r="P34" s="57" t="s">
        <v>2090</v>
      </c>
      <c r="Q34" s="30">
        <v>3</v>
      </c>
      <c r="AD34" s="309">
        <v>31</v>
      </c>
      <c r="AE34" s="310" t="s">
        <v>2123</v>
      </c>
      <c r="AF34" s="311">
        <v>15000</v>
      </c>
      <c r="AG34" s="25"/>
      <c r="AH34" s="200" t="s">
        <v>2144</v>
      </c>
      <c r="AI34" s="199"/>
    </row>
    <row r="35" spans="1:35" ht="24.75" thickBot="1" x14ac:dyDescent="0.6">
      <c r="A35" s="144" t="s">
        <v>2257</v>
      </c>
      <c r="B35" s="196"/>
      <c r="C35" s="112">
        <v>46148</v>
      </c>
      <c r="D35" s="53"/>
      <c r="E35" s="52" t="s">
        <v>2012</v>
      </c>
      <c r="F35" s="52" t="s">
        <v>2248</v>
      </c>
      <c r="G35" s="52" t="s">
        <v>2012</v>
      </c>
      <c r="H35" s="94" t="str">
        <f>VLOOKUP(G35,บัญชีโอน!$B:$D,3,FALSE)</f>
        <v>KTB</v>
      </c>
      <c r="I35" s="132"/>
      <c r="J35" s="132">
        <v>37620</v>
      </c>
      <c r="K35" s="214">
        <f t="shared" si="1"/>
        <v>4083693.5999999978</v>
      </c>
      <c r="L35" s="188"/>
      <c r="M35" s="48" t="s">
        <v>2089</v>
      </c>
      <c r="N35" s="47">
        <f>SUM(I24:I35)</f>
        <v>3000000</v>
      </c>
      <c r="O35" s="47">
        <f>SUM(J24:J35)</f>
        <v>376200</v>
      </c>
      <c r="P35" s="47">
        <f>2000000-O35</f>
        <v>1623800</v>
      </c>
      <c r="Q35" s="30"/>
      <c r="AD35" s="309">
        <v>32</v>
      </c>
      <c r="AE35" s="3" t="s">
        <v>575</v>
      </c>
      <c r="AF35" s="308">
        <v>200569</v>
      </c>
      <c r="AG35" s="25"/>
      <c r="AH35" s="200" t="s">
        <v>2142</v>
      </c>
      <c r="AI35" s="199"/>
    </row>
    <row r="36" spans="1:35" ht="24.75" thickTop="1" x14ac:dyDescent="0.55000000000000004">
      <c r="A36" s="125" t="s">
        <v>2258</v>
      </c>
      <c r="B36" s="196"/>
      <c r="C36" s="70">
        <v>46149</v>
      </c>
      <c r="D36" s="69"/>
      <c r="E36" s="195" t="s">
        <v>2259</v>
      </c>
      <c r="F36" s="60" t="s">
        <v>2260</v>
      </c>
      <c r="G36" s="203"/>
      <c r="H36" s="92" t="e">
        <f>VLOOKUP(G36,บัญชีโอน!$B:$D,3,FALSE)</f>
        <v>#N/A</v>
      </c>
      <c r="I36" s="127">
        <v>143040</v>
      </c>
      <c r="J36" s="127"/>
      <c r="K36" s="135">
        <f>K35+I36-J36</f>
        <v>4226733.5999999978</v>
      </c>
      <c r="L36" s="188"/>
      <c r="M36" s="48"/>
      <c r="N36" s="83"/>
      <c r="O36" s="83"/>
      <c r="P36" s="83"/>
      <c r="Q36" s="30"/>
      <c r="AD36" s="309">
        <v>33</v>
      </c>
      <c r="AE36" s="316" t="s">
        <v>605</v>
      </c>
      <c r="AF36" s="317">
        <v>121795</v>
      </c>
      <c r="AG36" s="25"/>
      <c r="AH36" s="200" t="s">
        <v>2141</v>
      </c>
      <c r="AI36" s="199"/>
    </row>
    <row r="37" spans="1:35" ht="24.75" thickBot="1" x14ac:dyDescent="0.6">
      <c r="A37" s="125" t="s">
        <v>2261</v>
      </c>
      <c r="B37" s="163"/>
      <c r="C37" s="70">
        <v>46149</v>
      </c>
      <c r="D37" s="101"/>
      <c r="E37" s="195" t="s">
        <v>134</v>
      </c>
      <c r="F37" s="60" t="s">
        <v>2262</v>
      </c>
      <c r="G37" s="203" t="s">
        <v>1311</v>
      </c>
      <c r="H37" s="92" t="str">
        <f>VLOOKUP(G37,บัญชีโอน!$B:$D,3,FALSE)</f>
        <v>SCB</v>
      </c>
      <c r="I37" s="127"/>
      <c r="J37" s="127">
        <v>4950</v>
      </c>
      <c r="K37" s="135">
        <f t="shared" ref="K37:K39" si="4">K36+I37-J37</f>
        <v>4221783.5999999978</v>
      </c>
      <c r="L37" s="188"/>
      <c r="M37" s="48"/>
      <c r="N37" s="81"/>
      <c r="O37" s="81"/>
      <c r="P37" s="81"/>
      <c r="Q37" s="30"/>
      <c r="AD37" s="309">
        <v>34</v>
      </c>
      <c r="AE37" s="321" t="s">
        <v>2105</v>
      </c>
      <c r="AF37" s="308">
        <v>792000</v>
      </c>
      <c r="AG37" s="25"/>
      <c r="AH37" s="198" t="s">
        <v>2140</v>
      </c>
      <c r="AI37" s="197">
        <f>SUM(AI29:AI36)</f>
        <v>0</v>
      </c>
    </row>
    <row r="38" spans="1:35" ht="24.75" thickTop="1" x14ac:dyDescent="0.55000000000000004">
      <c r="A38" s="125" t="s">
        <v>2263</v>
      </c>
      <c r="B38" s="163"/>
      <c r="C38" s="70">
        <v>46149</v>
      </c>
      <c r="D38" s="101"/>
      <c r="E38" s="195" t="s">
        <v>2118</v>
      </c>
      <c r="F38" s="60" t="s">
        <v>2117</v>
      </c>
      <c r="G38" s="203" t="s">
        <v>90</v>
      </c>
      <c r="H38" s="92" t="str">
        <f>VLOOKUP(G38,บัญชีโอน!$B:$D,3,FALSE)</f>
        <v>BBL</v>
      </c>
      <c r="I38" s="127"/>
      <c r="J38" s="127">
        <v>500000</v>
      </c>
      <c r="K38" s="135">
        <f>K37+I38-J38</f>
        <v>3721783.5999999978</v>
      </c>
      <c r="L38" s="188"/>
      <c r="M38" s="48"/>
      <c r="N38" s="81"/>
      <c r="O38" s="81"/>
      <c r="P38" s="81"/>
      <c r="Q38" s="30"/>
      <c r="AD38" s="309">
        <v>35</v>
      </c>
      <c r="AE38" s="316" t="s">
        <v>650</v>
      </c>
      <c r="AF38" s="317">
        <v>60000</v>
      </c>
      <c r="AG38" s="25"/>
      <c r="AI38" s="74"/>
    </row>
    <row r="39" spans="1:35" x14ac:dyDescent="0.55000000000000004">
      <c r="A39" s="125" t="s">
        <v>2264</v>
      </c>
      <c r="B39" s="163"/>
      <c r="C39" s="70">
        <v>46149</v>
      </c>
      <c r="D39" s="101"/>
      <c r="E39" s="195" t="s">
        <v>2130</v>
      </c>
      <c r="F39" s="60" t="s">
        <v>2265</v>
      </c>
      <c r="G39" s="203" t="s">
        <v>280</v>
      </c>
      <c r="H39" s="92" t="str">
        <f>VLOOKUP(G39,บัญชีโอน!$B:$D,3,FALSE)</f>
        <v>KTB</v>
      </c>
      <c r="I39" s="127"/>
      <c r="J39" s="127">
        <v>661712</v>
      </c>
      <c r="K39" s="135">
        <f t="shared" si="4"/>
        <v>3060071.5999999978</v>
      </c>
      <c r="L39" s="188"/>
      <c r="M39" s="48"/>
      <c r="N39" s="81"/>
      <c r="O39" s="81"/>
      <c r="P39" s="81"/>
      <c r="Q39" s="30"/>
      <c r="AD39" s="309">
        <v>36</v>
      </c>
      <c r="AE39" s="316" t="s">
        <v>677</v>
      </c>
      <c r="AF39" s="317">
        <v>52500</v>
      </c>
      <c r="AG39" s="25"/>
      <c r="AH39" s="193" t="s">
        <v>2136</v>
      </c>
      <c r="AI39" s="185"/>
    </row>
    <row r="40" spans="1:35" x14ac:dyDescent="0.55000000000000004">
      <c r="A40" s="125" t="s">
        <v>2266</v>
      </c>
      <c r="B40" s="163"/>
      <c r="C40" s="70">
        <v>46149</v>
      </c>
      <c r="D40" s="101"/>
      <c r="E40" s="195" t="s">
        <v>2198</v>
      </c>
      <c r="F40" s="60" t="s">
        <v>2267</v>
      </c>
      <c r="G40" s="203" t="s">
        <v>1046</v>
      </c>
      <c r="H40" s="92" t="str">
        <f>VLOOKUP(G40,บัญชีโอน!$B:$D,3,FALSE)</f>
        <v>Kbank</v>
      </c>
      <c r="I40" s="127"/>
      <c r="J40" s="127">
        <v>757950</v>
      </c>
      <c r="K40" s="135">
        <f>K39+I40-J40</f>
        <v>2302121.5999999978</v>
      </c>
      <c r="L40" s="188"/>
      <c r="M40" s="58">
        <f>C36</f>
        <v>46149</v>
      </c>
      <c r="N40" s="57" t="s">
        <v>2092</v>
      </c>
      <c r="O40" s="57" t="s">
        <v>2091</v>
      </c>
      <c r="P40" s="57" t="s">
        <v>2090</v>
      </c>
      <c r="Q40" s="30">
        <v>4</v>
      </c>
      <c r="AD40" s="309">
        <v>37</v>
      </c>
      <c r="AE40" s="316" t="s">
        <v>718</v>
      </c>
      <c r="AF40" s="317">
        <v>206910</v>
      </c>
      <c r="AG40" s="25"/>
      <c r="AH40" s="186" t="s">
        <v>2138</v>
      </c>
      <c r="AI40" s="185">
        <v>6754</v>
      </c>
    </row>
    <row r="41" spans="1:35" ht="24.75" thickBot="1" x14ac:dyDescent="0.6">
      <c r="A41" s="134" t="s">
        <v>2268</v>
      </c>
      <c r="B41" s="159"/>
      <c r="C41" s="112">
        <v>46149</v>
      </c>
      <c r="D41" s="142"/>
      <c r="E41" s="141" t="s">
        <v>2058</v>
      </c>
      <c r="F41" s="141" t="s">
        <v>2269</v>
      </c>
      <c r="G41" s="141" t="s">
        <v>2065</v>
      </c>
      <c r="H41" s="94" t="str">
        <f>VLOOKUP(G41,บัญชีโอน!$B:$D,3,FALSE)</f>
        <v>TTB</v>
      </c>
      <c r="I41" s="202"/>
      <c r="J41" s="202">
        <v>3850</v>
      </c>
      <c r="K41" s="201">
        <f t="shared" si="1"/>
        <v>2298271.5999999978</v>
      </c>
      <c r="L41" s="188"/>
      <c r="M41" s="48" t="s">
        <v>2089</v>
      </c>
      <c r="N41" s="47">
        <f>SUM(I36:I41)</f>
        <v>143040</v>
      </c>
      <c r="O41" s="47">
        <f>SUM(J36:J41)</f>
        <v>1928462</v>
      </c>
      <c r="P41" s="47">
        <f>2000000-O41</f>
        <v>71538</v>
      </c>
      <c r="Q41" s="30"/>
      <c r="AD41" s="309">
        <v>38</v>
      </c>
      <c r="AE41" s="316" t="s">
        <v>740</v>
      </c>
      <c r="AF41" s="317">
        <v>17920</v>
      </c>
      <c r="AG41" s="25"/>
      <c r="AH41" s="186"/>
      <c r="AI41" s="185"/>
    </row>
    <row r="42" spans="1:35" ht="25.5" thickTop="1" thickBot="1" x14ac:dyDescent="0.6">
      <c r="A42" s="125" t="s">
        <v>2270</v>
      </c>
      <c r="B42" s="125"/>
      <c r="C42" s="70">
        <v>46150</v>
      </c>
      <c r="D42" s="69"/>
      <c r="E42" s="68" t="s">
        <v>2058</v>
      </c>
      <c r="F42" s="68" t="s">
        <v>2271</v>
      </c>
      <c r="G42" s="68" t="s">
        <v>2065</v>
      </c>
      <c r="H42" s="92" t="str">
        <f>VLOOKUP(G42,บัญชีโอน!$B:$D,3,FALSE)</f>
        <v>TTB</v>
      </c>
      <c r="I42" s="135"/>
      <c r="J42" s="135">
        <v>13440</v>
      </c>
      <c r="K42" s="135">
        <f t="shared" si="1"/>
        <v>2284831.5999999978</v>
      </c>
      <c r="L42" s="188"/>
      <c r="M42" s="30"/>
      <c r="N42" s="26"/>
      <c r="O42" s="26"/>
      <c r="P42" s="26"/>
      <c r="Q42" s="30"/>
      <c r="AD42" s="309">
        <v>39</v>
      </c>
      <c r="AE42" s="316" t="s">
        <v>749</v>
      </c>
      <c r="AF42" s="317">
        <v>37620</v>
      </c>
      <c r="AG42" s="25"/>
      <c r="AH42" s="190" t="s">
        <v>2136</v>
      </c>
      <c r="AI42" s="189">
        <f>SUM(AI40:AI41)</f>
        <v>6754</v>
      </c>
    </row>
    <row r="43" spans="1:35" ht="24.75" thickTop="1" x14ac:dyDescent="0.55000000000000004">
      <c r="A43" s="125" t="s">
        <v>2272</v>
      </c>
      <c r="B43" s="155"/>
      <c r="C43" s="70">
        <v>46150</v>
      </c>
      <c r="D43" s="61"/>
      <c r="E43" s="60" t="s">
        <v>1654</v>
      </c>
      <c r="F43" s="68" t="s">
        <v>2273</v>
      </c>
      <c r="G43" s="68" t="s">
        <v>1651</v>
      </c>
      <c r="H43" s="92" t="str">
        <f>VLOOKUP(G43,บัญชีโอน!$B:$D,3,FALSE)</f>
        <v>Kbank</v>
      </c>
      <c r="I43" s="59"/>
      <c r="J43" s="59">
        <v>200000</v>
      </c>
      <c r="K43" s="135">
        <f>K42+I43-J43</f>
        <v>2084831.5999999978</v>
      </c>
      <c r="L43" s="194"/>
      <c r="M43" s="58">
        <f>C42</f>
        <v>46150</v>
      </c>
      <c r="N43" s="57" t="s">
        <v>2092</v>
      </c>
      <c r="O43" s="57" t="s">
        <v>2091</v>
      </c>
      <c r="P43" s="57" t="s">
        <v>2090</v>
      </c>
      <c r="Q43" s="30">
        <v>5</v>
      </c>
      <c r="AD43" s="309">
        <v>40</v>
      </c>
      <c r="AE43" s="316" t="s">
        <v>756</v>
      </c>
      <c r="AF43" s="317">
        <v>37620</v>
      </c>
      <c r="AG43" s="25"/>
      <c r="AH43" s="186"/>
      <c r="AI43" s="185"/>
    </row>
    <row r="44" spans="1:35" ht="24.75" thickBot="1" x14ac:dyDescent="0.6">
      <c r="A44" s="134" t="s">
        <v>2274</v>
      </c>
      <c r="B44" s="192"/>
      <c r="C44" s="143">
        <v>46150</v>
      </c>
      <c r="D44" s="53"/>
      <c r="E44" s="52" t="s">
        <v>2211</v>
      </c>
      <c r="F44" s="52" t="s">
        <v>2275</v>
      </c>
      <c r="G44" s="52" t="s">
        <v>712</v>
      </c>
      <c r="H44" s="94" t="str">
        <f>VLOOKUP(G44,บัญชีโอน!$B:$D,3,FALSE)</f>
        <v>Kbank</v>
      </c>
      <c r="I44" s="50"/>
      <c r="J44" s="50">
        <v>7500</v>
      </c>
      <c r="K44" s="49">
        <f>K43+I44-J44</f>
        <v>2077331.5999999978</v>
      </c>
      <c r="L44" s="188"/>
      <c r="M44" s="48" t="s">
        <v>2089</v>
      </c>
      <c r="N44" s="47">
        <f>SUM(I42:I44)</f>
        <v>0</v>
      </c>
      <c r="O44" s="47">
        <f>SUM(J42:J44)</f>
        <v>220940</v>
      </c>
      <c r="P44" s="47">
        <f>2000000-O44</f>
        <v>1779060</v>
      </c>
      <c r="Q44" s="30"/>
      <c r="AD44" s="309">
        <v>41</v>
      </c>
      <c r="AE44" s="316" t="s">
        <v>872</v>
      </c>
      <c r="AF44" s="317">
        <v>14700</v>
      </c>
      <c r="AG44" s="25"/>
      <c r="AH44" s="186"/>
      <c r="AI44" s="185"/>
    </row>
    <row r="45" spans="1:35" ht="24.75" thickTop="1" x14ac:dyDescent="0.55000000000000004">
      <c r="A45" s="125" t="s">
        <v>2276</v>
      </c>
      <c r="B45" s="163"/>
      <c r="C45" s="70">
        <v>46153</v>
      </c>
      <c r="D45" s="69"/>
      <c r="E45" s="68" t="s">
        <v>1874</v>
      </c>
      <c r="F45" s="77" t="s">
        <v>2277</v>
      </c>
      <c r="G45" s="77" t="s">
        <v>480</v>
      </c>
      <c r="H45" s="96" t="str">
        <f>VLOOKUP(G45,บัญชีโอน!$B:$D,3,FALSE)</f>
        <v>SCB</v>
      </c>
      <c r="I45" s="75"/>
      <c r="J45" s="75">
        <v>9025</v>
      </c>
      <c r="K45" s="191">
        <f t="shared" si="1"/>
        <v>2068306.5999999978</v>
      </c>
      <c r="L45" s="188"/>
      <c r="M45" s="48"/>
      <c r="N45" s="81"/>
      <c r="O45" s="81"/>
      <c r="P45" s="81"/>
      <c r="Q45" s="30"/>
      <c r="AD45" s="309">
        <v>42</v>
      </c>
      <c r="AE45" s="316" t="s">
        <v>1349</v>
      </c>
      <c r="AF45" s="317">
        <v>390300</v>
      </c>
      <c r="AG45" s="25"/>
      <c r="AI45" s="74"/>
    </row>
    <row r="46" spans="1:35" x14ac:dyDescent="0.55000000000000004">
      <c r="A46" s="125" t="s">
        <v>2278</v>
      </c>
      <c r="B46" s="163"/>
      <c r="C46" s="70">
        <v>46153</v>
      </c>
      <c r="D46" s="69"/>
      <c r="E46" s="68" t="s">
        <v>1874</v>
      </c>
      <c r="F46" s="68" t="s">
        <v>2279</v>
      </c>
      <c r="G46" s="68" t="s">
        <v>480</v>
      </c>
      <c r="H46" s="96" t="str">
        <f>VLOOKUP(G46,บัญชีโอน!$B:$D,3,FALSE)</f>
        <v>SCB</v>
      </c>
      <c r="I46" s="135"/>
      <c r="J46" s="135">
        <v>3000</v>
      </c>
      <c r="K46" s="127">
        <f t="shared" si="1"/>
        <v>2065306.5999999978</v>
      </c>
      <c r="L46" s="188"/>
      <c r="M46" s="48"/>
      <c r="N46" s="81"/>
      <c r="O46" s="81"/>
      <c r="P46" s="81"/>
      <c r="Q46" s="30"/>
      <c r="AD46" s="309">
        <v>43</v>
      </c>
      <c r="AE46" s="316" t="s">
        <v>1514</v>
      </c>
      <c r="AF46" s="317">
        <v>7200</v>
      </c>
      <c r="AG46" s="25"/>
      <c r="AH46" s="182" t="s">
        <v>2132</v>
      </c>
      <c r="AI46" s="180"/>
    </row>
    <row r="47" spans="1:35" x14ac:dyDescent="0.55000000000000004">
      <c r="A47" s="125" t="s">
        <v>2280</v>
      </c>
      <c r="B47" s="163"/>
      <c r="C47" s="70">
        <v>46153</v>
      </c>
      <c r="D47" s="69"/>
      <c r="E47" s="68" t="s">
        <v>1756</v>
      </c>
      <c r="F47" s="68" t="s">
        <v>2281</v>
      </c>
      <c r="G47" s="68" t="s">
        <v>1761</v>
      </c>
      <c r="H47" s="96" t="str">
        <f>VLOOKUP(G47,บัญชีโอน!$B:$D,3,FALSE)</f>
        <v>BAY</v>
      </c>
      <c r="I47" s="66"/>
      <c r="J47" s="66">
        <v>9370</v>
      </c>
      <c r="K47" s="59">
        <f t="shared" si="1"/>
        <v>2055936.5999999978</v>
      </c>
      <c r="L47" s="188"/>
      <c r="M47" s="48"/>
      <c r="N47" s="81"/>
      <c r="O47" s="81"/>
      <c r="P47" s="81"/>
      <c r="Q47" s="30"/>
      <c r="AD47" s="309">
        <v>44</v>
      </c>
      <c r="AE47" s="316" t="s">
        <v>1556</v>
      </c>
      <c r="AF47" s="317">
        <v>41370</v>
      </c>
      <c r="AG47" s="25"/>
      <c r="AH47" s="181" t="s">
        <v>2134</v>
      </c>
      <c r="AI47" s="180">
        <v>56910</v>
      </c>
    </row>
    <row r="48" spans="1:35" x14ac:dyDescent="0.55000000000000004">
      <c r="A48" s="125" t="s">
        <v>2282</v>
      </c>
      <c r="B48" s="163"/>
      <c r="C48" s="70">
        <v>46153</v>
      </c>
      <c r="D48" s="69"/>
      <c r="E48" s="68" t="s">
        <v>2046</v>
      </c>
      <c r="F48" s="68" t="s">
        <v>2283</v>
      </c>
      <c r="G48" s="68" t="s">
        <v>2046</v>
      </c>
      <c r="H48" s="96" t="str">
        <f>VLOOKUP(G48,บัญชีโอน!$B:$D,3,FALSE)</f>
        <v>SCB</v>
      </c>
      <c r="I48" s="66"/>
      <c r="J48" s="66">
        <v>46450</v>
      </c>
      <c r="K48" s="59">
        <f t="shared" si="1"/>
        <v>2009486.5999999978</v>
      </c>
      <c r="L48" s="188"/>
      <c r="M48" s="48"/>
      <c r="N48" s="81"/>
      <c r="O48" s="81"/>
      <c r="P48" s="81"/>
      <c r="Q48" s="30"/>
      <c r="AD48" s="309">
        <v>45</v>
      </c>
      <c r="AE48" s="316" t="s">
        <v>1568</v>
      </c>
      <c r="AF48" s="317">
        <v>21721</v>
      </c>
      <c r="AG48" s="25"/>
      <c r="AH48" s="181" t="s">
        <v>2126</v>
      </c>
      <c r="AI48" s="180">
        <v>1367824</v>
      </c>
    </row>
    <row r="49" spans="1:35" x14ac:dyDescent="0.55000000000000004">
      <c r="A49" s="125" t="s">
        <v>2284</v>
      </c>
      <c r="B49" s="163"/>
      <c r="C49" s="70">
        <v>46153</v>
      </c>
      <c r="D49" s="69"/>
      <c r="E49" s="68" t="s">
        <v>2041</v>
      </c>
      <c r="F49" s="68" t="s">
        <v>2285</v>
      </c>
      <c r="G49" s="68" t="s">
        <v>2041</v>
      </c>
      <c r="H49" s="96" t="str">
        <f>VLOOKUP(G49,บัญชีโอน!$B:$D,3,FALSE)</f>
        <v>TTB</v>
      </c>
      <c r="I49" s="66"/>
      <c r="J49" s="66">
        <v>2790</v>
      </c>
      <c r="K49" s="59">
        <f t="shared" si="1"/>
        <v>2006696.5999999978</v>
      </c>
      <c r="L49" s="188"/>
      <c r="M49" s="48"/>
      <c r="N49" s="81"/>
      <c r="O49" s="81"/>
      <c r="P49" s="81"/>
      <c r="Q49" s="30"/>
      <c r="AD49" s="309">
        <v>46</v>
      </c>
      <c r="AE49" s="316" t="s">
        <v>2100</v>
      </c>
      <c r="AF49" s="317">
        <v>18810</v>
      </c>
      <c r="AG49" s="25"/>
      <c r="AH49" s="181" t="s">
        <v>2133</v>
      </c>
      <c r="AI49" s="180">
        <v>25000</v>
      </c>
    </row>
    <row r="50" spans="1:35" x14ac:dyDescent="0.55000000000000004">
      <c r="A50" s="125" t="s">
        <v>2286</v>
      </c>
      <c r="B50" s="163"/>
      <c r="C50" s="70">
        <v>46153</v>
      </c>
      <c r="D50" s="69"/>
      <c r="E50" s="68" t="s">
        <v>872</v>
      </c>
      <c r="F50" s="68" t="s">
        <v>2287</v>
      </c>
      <c r="G50" s="68" t="s">
        <v>877</v>
      </c>
      <c r="H50" s="96" t="str">
        <f>VLOOKUP(G50,บัญชีโอน!$B:$D,3,FALSE)</f>
        <v>SCB</v>
      </c>
      <c r="I50" s="66"/>
      <c r="J50" s="66">
        <v>14700</v>
      </c>
      <c r="K50" s="59">
        <f t="shared" si="1"/>
        <v>1991996.5999999978</v>
      </c>
      <c r="L50" s="188"/>
      <c r="M50" s="48"/>
      <c r="N50" s="81"/>
      <c r="O50" s="81"/>
      <c r="P50" s="81"/>
      <c r="Q50" s="30"/>
      <c r="AD50" s="309">
        <v>47</v>
      </c>
      <c r="AE50" s="316" t="s">
        <v>1598</v>
      </c>
      <c r="AF50" s="317">
        <v>18810</v>
      </c>
      <c r="AG50" s="25"/>
      <c r="AH50" s="181" t="s">
        <v>669</v>
      </c>
      <c r="AI50" s="180"/>
    </row>
    <row r="51" spans="1:35" ht="24.75" thickBot="1" x14ac:dyDescent="0.6">
      <c r="A51" s="125" t="s">
        <v>2288</v>
      </c>
      <c r="B51" s="163"/>
      <c r="C51" s="70">
        <v>46153</v>
      </c>
      <c r="D51" s="69"/>
      <c r="E51" s="68" t="s">
        <v>118</v>
      </c>
      <c r="F51" s="68" t="s">
        <v>2289</v>
      </c>
      <c r="G51" s="68" t="s">
        <v>118</v>
      </c>
      <c r="H51" s="96" t="str">
        <f>VLOOKUP(G51,บัญชีโอน!$B:$D,3,FALSE)</f>
        <v>Kbank</v>
      </c>
      <c r="I51" s="66"/>
      <c r="J51" s="66">
        <v>10480</v>
      </c>
      <c r="K51" s="59">
        <f t="shared" si="1"/>
        <v>1981516.5999999978</v>
      </c>
      <c r="L51" s="188"/>
      <c r="M51" s="48"/>
      <c r="N51" s="81"/>
      <c r="O51" s="81"/>
      <c r="P51" s="81"/>
      <c r="Q51" s="30"/>
      <c r="AD51" s="309">
        <v>48</v>
      </c>
      <c r="AE51" s="316" t="s">
        <v>1635</v>
      </c>
      <c r="AF51" s="317">
        <v>175050</v>
      </c>
      <c r="AG51" s="25"/>
      <c r="AH51" s="179" t="s">
        <v>2132</v>
      </c>
      <c r="AI51" s="178">
        <f>SUM(AI47:AI50)</f>
        <v>1449734</v>
      </c>
    </row>
    <row r="52" spans="1:35" ht="24.75" thickTop="1" x14ac:dyDescent="0.55000000000000004">
      <c r="A52" s="125" t="s">
        <v>2290</v>
      </c>
      <c r="B52" s="163"/>
      <c r="C52" s="70">
        <v>46153</v>
      </c>
      <c r="D52" s="69"/>
      <c r="E52" s="68" t="s">
        <v>1708</v>
      </c>
      <c r="F52" s="68" t="s">
        <v>2291</v>
      </c>
      <c r="G52" s="68" t="s">
        <v>1712</v>
      </c>
      <c r="H52" s="96" t="str">
        <f>VLOOKUP(G52,บัญชีโอน!$B:$D,3,FALSE)</f>
        <v>SCB</v>
      </c>
      <c r="I52" s="66"/>
      <c r="J52" s="66">
        <v>12800</v>
      </c>
      <c r="K52" s="59">
        <f t="shared" si="1"/>
        <v>1968716.5999999978</v>
      </c>
      <c r="L52" s="188"/>
      <c r="M52" s="48"/>
      <c r="N52" s="81"/>
      <c r="O52" s="81"/>
      <c r="P52" s="81"/>
      <c r="Q52" s="30"/>
      <c r="AD52" s="309">
        <v>49</v>
      </c>
      <c r="AE52" s="3" t="s">
        <v>2204</v>
      </c>
      <c r="AF52" s="308">
        <v>23862</v>
      </c>
      <c r="AG52" s="25"/>
      <c r="AI52" s="74"/>
    </row>
    <row r="53" spans="1:35" x14ac:dyDescent="0.55000000000000004">
      <c r="A53" s="125" t="s">
        <v>2292</v>
      </c>
      <c r="B53" s="163"/>
      <c r="C53" s="70">
        <v>46153</v>
      </c>
      <c r="D53" s="69"/>
      <c r="E53" s="68" t="s">
        <v>1556</v>
      </c>
      <c r="F53" s="68" t="s">
        <v>2293</v>
      </c>
      <c r="G53" s="68" t="s">
        <v>1561</v>
      </c>
      <c r="H53" s="96" t="str">
        <f>VLOOKUP(G53,บัญชีโอน!$B:$D,3,FALSE)</f>
        <v>Kbank</v>
      </c>
      <c r="I53" s="66"/>
      <c r="J53" s="66">
        <v>41370</v>
      </c>
      <c r="K53" s="59">
        <f t="shared" si="1"/>
        <v>1927346.5999999978</v>
      </c>
      <c r="L53" s="188"/>
      <c r="M53" s="48"/>
      <c r="N53" s="81"/>
      <c r="O53" s="81"/>
      <c r="P53" s="81"/>
      <c r="Q53" s="30"/>
      <c r="AD53" s="309">
        <v>50</v>
      </c>
      <c r="AE53" s="316" t="s">
        <v>1708</v>
      </c>
      <c r="AF53" s="317">
        <v>12800</v>
      </c>
      <c r="AG53" s="25"/>
      <c r="AI53" s="74"/>
    </row>
    <row r="54" spans="1:35" x14ac:dyDescent="0.55000000000000004">
      <c r="A54" s="125" t="s">
        <v>2294</v>
      </c>
      <c r="B54" s="163"/>
      <c r="C54" s="70">
        <v>46153</v>
      </c>
      <c r="D54" s="69"/>
      <c r="E54" s="68" t="s">
        <v>605</v>
      </c>
      <c r="F54" s="68" t="s">
        <v>2287</v>
      </c>
      <c r="G54" s="68" t="s">
        <v>605</v>
      </c>
      <c r="H54" s="96" t="str">
        <f>VLOOKUP(G54,บัญชีโอน!$B:$D,3,FALSE)</f>
        <v>Kbank</v>
      </c>
      <c r="I54" s="66"/>
      <c r="J54" s="66">
        <v>121795</v>
      </c>
      <c r="K54" s="59">
        <f t="shared" si="1"/>
        <v>1805551.5999999978</v>
      </c>
      <c r="L54" s="188"/>
      <c r="M54" s="48"/>
      <c r="N54" s="81"/>
      <c r="O54" s="81"/>
      <c r="P54" s="81"/>
      <c r="Q54" s="30"/>
      <c r="AD54" s="309">
        <v>51</v>
      </c>
      <c r="AE54" s="322" t="s">
        <v>2215</v>
      </c>
      <c r="AF54" s="308">
        <v>10102</v>
      </c>
      <c r="AG54" s="25"/>
      <c r="AH54" s="177" t="s">
        <v>251</v>
      </c>
      <c r="AI54" s="164"/>
    </row>
    <row r="55" spans="1:35" x14ac:dyDescent="0.55000000000000004">
      <c r="A55" s="125" t="s">
        <v>2295</v>
      </c>
      <c r="B55" s="163"/>
      <c r="C55" s="70">
        <v>46153</v>
      </c>
      <c r="D55" s="69"/>
      <c r="E55" s="68" t="s">
        <v>1806</v>
      </c>
      <c r="F55" s="68" t="s">
        <v>2296</v>
      </c>
      <c r="G55" s="68" t="s">
        <v>1806</v>
      </c>
      <c r="H55" s="96" t="str">
        <f>VLOOKUP(G55,บัญชีโอน!$B:$D,3,FALSE)</f>
        <v>Kbank</v>
      </c>
      <c r="I55" s="66"/>
      <c r="J55" s="66">
        <v>238966</v>
      </c>
      <c r="K55" s="59">
        <f t="shared" si="1"/>
        <v>1566585.5999999978</v>
      </c>
      <c r="L55" s="188"/>
      <c r="M55" s="48"/>
      <c r="N55" s="81"/>
      <c r="O55" s="81"/>
      <c r="P55" s="81"/>
      <c r="Q55" s="30"/>
      <c r="AD55" s="309">
        <v>52</v>
      </c>
      <c r="AE55" s="316" t="s">
        <v>1739</v>
      </c>
      <c r="AF55" s="317">
        <v>21412</v>
      </c>
      <c r="AG55" s="25"/>
      <c r="AH55" s="165" t="s">
        <v>428</v>
      </c>
      <c r="AI55" s="164">
        <v>456647.66</v>
      </c>
    </row>
    <row r="56" spans="1:35" x14ac:dyDescent="0.55000000000000004">
      <c r="A56" s="125" t="s">
        <v>2297</v>
      </c>
      <c r="B56" s="163"/>
      <c r="C56" s="70">
        <v>46153</v>
      </c>
      <c r="D56" s="69"/>
      <c r="E56" s="68" t="s">
        <v>1739</v>
      </c>
      <c r="F56" s="68" t="s">
        <v>2298</v>
      </c>
      <c r="G56" s="68" t="s">
        <v>1739</v>
      </c>
      <c r="H56" s="96" t="str">
        <f>VLOOKUP(G56,บัญชีโอน!$B:$D,3,FALSE)</f>
        <v>Kbank</v>
      </c>
      <c r="I56" s="66"/>
      <c r="J56" s="66">
        <v>21412</v>
      </c>
      <c r="K56" s="59">
        <f t="shared" si="1"/>
        <v>1545173.5999999978</v>
      </c>
      <c r="L56" s="188"/>
      <c r="M56" s="48"/>
      <c r="N56" s="81"/>
      <c r="O56" s="81"/>
      <c r="P56" s="81"/>
      <c r="Q56" s="30"/>
      <c r="AD56" s="309">
        <v>53</v>
      </c>
      <c r="AE56" s="316" t="s">
        <v>1756</v>
      </c>
      <c r="AF56" s="317">
        <v>9370</v>
      </c>
      <c r="AG56" s="25"/>
      <c r="AH56" s="165" t="s">
        <v>2131</v>
      </c>
      <c r="AI56" s="164">
        <v>11820</v>
      </c>
    </row>
    <row r="57" spans="1:35" x14ac:dyDescent="0.55000000000000004">
      <c r="A57" s="125" t="s">
        <v>2299</v>
      </c>
      <c r="B57" s="163"/>
      <c r="C57" s="70">
        <v>46153</v>
      </c>
      <c r="D57" s="69"/>
      <c r="E57" s="68" t="s">
        <v>1568</v>
      </c>
      <c r="F57" s="68" t="s">
        <v>2300</v>
      </c>
      <c r="G57" s="68" t="s">
        <v>1568</v>
      </c>
      <c r="H57" s="96" t="str">
        <f>VLOOKUP(G57,บัญชีโอน!$B:$D,3,FALSE)</f>
        <v>BAY</v>
      </c>
      <c r="I57" s="66"/>
      <c r="J57" s="66">
        <v>21721</v>
      </c>
      <c r="K57" s="59">
        <f t="shared" si="1"/>
        <v>1523452.5999999978</v>
      </c>
      <c r="L57" s="188"/>
      <c r="M57" s="48"/>
      <c r="N57" s="81"/>
      <c r="O57" s="81"/>
      <c r="P57" s="81"/>
      <c r="Q57" s="30"/>
      <c r="AD57" s="309">
        <v>54</v>
      </c>
      <c r="AE57" s="316" t="s">
        <v>1806</v>
      </c>
      <c r="AF57" s="317">
        <v>238966</v>
      </c>
      <c r="AG57" s="25"/>
      <c r="AH57" s="165" t="s">
        <v>2125</v>
      </c>
      <c r="AI57" s="164">
        <v>78360</v>
      </c>
    </row>
    <row r="58" spans="1:35" x14ac:dyDescent="0.55000000000000004">
      <c r="A58" s="125" t="s">
        <v>2301</v>
      </c>
      <c r="B58" s="163"/>
      <c r="C58" s="70">
        <v>46153</v>
      </c>
      <c r="D58" s="69"/>
      <c r="E58" s="68" t="s">
        <v>2238</v>
      </c>
      <c r="F58" s="68" t="s">
        <v>2302</v>
      </c>
      <c r="G58" s="68" t="s">
        <v>1577</v>
      </c>
      <c r="H58" s="96" t="str">
        <f>VLOOKUP(G58,บัญชีโอน!$B:$D,3,FALSE)</f>
        <v>Kbank</v>
      </c>
      <c r="I58" s="135"/>
      <c r="J58" s="135">
        <v>600091</v>
      </c>
      <c r="K58" s="59">
        <f t="shared" si="1"/>
        <v>923361.59999999776</v>
      </c>
      <c r="L58" s="146"/>
      <c r="M58" s="58">
        <f>C45</f>
        <v>46153</v>
      </c>
      <c r="N58" s="57" t="s">
        <v>2092</v>
      </c>
      <c r="O58" s="57" t="s">
        <v>2091</v>
      </c>
      <c r="P58" s="57" t="s">
        <v>2090</v>
      </c>
      <c r="Q58" s="30">
        <v>6</v>
      </c>
      <c r="AD58" s="309">
        <v>55</v>
      </c>
      <c r="AE58" s="3" t="s">
        <v>2214</v>
      </c>
      <c r="AF58" s="308">
        <v>270500</v>
      </c>
      <c r="AG58" s="25"/>
      <c r="AH58" s="165" t="s">
        <v>2118</v>
      </c>
      <c r="AI58" s="164">
        <v>1000000</v>
      </c>
    </row>
    <row r="59" spans="1:35" ht="24.75" thickBot="1" x14ac:dyDescent="0.6">
      <c r="A59" s="125" t="s">
        <v>2303</v>
      </c>
      <c r="B59" s="163"/>
      <c r="C59" s="70">
        <v>46153</v>
      </c>
      <c r="D59" s="69"/>
      <c r="E59" s="68" t="s">
        <v>134</v>
      </c>
      <c r="F59" s="68" t="s">
        <v>2304</v>
      </c>
      <c r="G59" s="68" t="s">
        <v>1892</v>
      </c>
      <c r="H59" s="94" t="str">
        <f>VLOOKUP(G59,บัญชีโอน!$B:$D,3,FALSE)</f>
        <v>BBL</v>
      </c>
      <c r="I59" s="66"/>
      <c r="J59" s="66">
        <v>910</v>
      </c>
      <c r="K59" s="184">
        <f t="shared" si="1"/>
        <v>922451.59999999776</v>
      </c>
      <c r="L59" s="176"/>
      <c r="M59" s="48" t="s">
        <v>2089</v>
      </c>
      <c r="N59" s="47">
        <f>SUM(I45:I59)</f>
        <v>0</v>
      </c>
      <c r="O59" s="47">
        <f>SUM(J45:J59)</f>
        <v>1154880</v>
      </c>
      <c r="P59" s="47">
        <f>2000000-O59</f>
        <v>845120</v>
      </c>
      <c r="Q59" s="30"/>
      <c r="AD59" s="309">
        <v>56</v>
      </c>
      <c r="AE59" s="316" t="s">
        <v>1848</v>
      </c>
      <c r="AF59" s="317">
        <v>18810</v>
      </c>
      <c r="AG59" s="25"/>
      <c r="AH59" s="165" t="s">
        <v>2130</v>
      </c>
      <c r="AI59" s="164">
        <v>661712</v>
      </c>
    </row>
    <row r="60" spans="1:35" ht="24.75" thickTop="1" x14ac:dyDescent="0.55000000000000004">
      <c r="A60" s="131"/>
      <c r="B60" s="157"/>
      <c r="C60" s="79">
        <v>46154</v>
      </c>
      <c r="D60" s="78"/>
      <c r="E60" s="77" t="s">
        <v>2122</v>
      </c>
      <c r="F60" s="77" t="s">
        <v>2121</v>
      </c>
      <c r="G60" s="183"/>
      <c r="H60" s="96" t="e">
        <f>VLOOKUP(G60,บัญชีโอน!$B:$D,3,FALSE)</f>
        <v>#N/A</v>
      </c>
      <c r="I60" s="75">
        <v>3000000</v>
      </c>
      <c r="J60" s="75"/>
      <c r="K60" s="75">
        <f t="shared" si="1"/>
        <v>3922451.5999999978</v>
      </c>
      <c r="L60" s="176"/>
      <c r="M60" s="48"/>
      <c r="N60" s="83"/>
      <c r="O60" s="83"/>
      <c r="P60" s="83"/>
      <c r="Q60" s="30"/>
      <c r="AD60" s="309">
        <v>57</v>
      </c>
      <c r="AE60" s="316" t="s">
        <v>1874</v>
      </c>
      <c r="AF60" s="317">
        <v>12025</v>
      </c>
      <c r="AG60" s="25"/>
      <c r="AH60" s="165" t="s">
        <v>2129</v>
      </c>
      <c r="AI60" s="164"/>
    </row>
    <row r="61" spans="1:35" x14ac:dyDescent="0.55000000000000004">
      <c r="A61" s="125" t="s">
        <v>2305</v>
      </c>
      <c r="B61" s="163"/>
      <c r="C61" s="70">
        <v>46154</v>
      </c>
      <c r="D61" s="69"/>
      <c r="E61" s="60" t="s">
        <v>422</v>
      </c>
      <c r="F61" s="60" t="s">
        <v>2306</v>
      </c>
      <c r="G61" s="68" t="s">
        <v>1606</v>
      </c>
      <c r="H61" s="92" t="str">
        <f>VLOOKUP(G61,บัญชีโอน!$B:$D,3,FALSE)</f>
        <v>BBL</v>
      </c>
      <c r="I61" s="59"/>
      <c r="J61" s="66">
        <v>170000</v>
      </c>
      <c r="K61" s="66">
        <f>K60+I61-J61</f>
        <v>3752451.5999999978</v>
      </c>
      <c r="L61" s="176"/>
      <c r="M61" s="58">
        <f>C61</f>
        <v>46154</v>
      </c>
      <c r="N61" s="57" t="s">
        <v>2092</v>
      </c>
      <c r="O61" s="57" t="s">
        <v>2091</v>
      </c>
      <c r="P61" s="57" t="s">
        <v>2090</v>
      </c>
      <c r="Q61" s="30">
        <v>7</v>
      </c>
      <c r="AC61" s="173"/>
      <c r="AD61" s="309">
        <v>58</v>
      </c>
      <c r="AE61" s="316" t="s">
        <v>2094</v>
      </c>
      <c r="AF61" s="317">
        <v>18810</v>
      </c>
      <c r="AG61" s="25"/>
      <c r="AH61" s="165" t="s">
        <v>2128</v>
      </c>
      <c r="AI61" s="164">
        <v>45000</v>
      </c>
    </row>
    <row r="62" spans="1:35" ht="24.75" thickBot="1" x14ac:dyDescent="0.6">
      <c r="A62" s="144"/>
      <c r="B62" s="159"/>
      <c r="C62" s="175">
        <v>46154</v>
      </c>
      <c r="D62" s="142"/>
      <c r="E62" s="141" t="s">
        <v>68</v>
      </c>
      <c r="F62" s="141" t="s">
        <v>2306</v>
      </c>
      <c r="G62" s="174" t="s">
        <v>1606</v>
      </c>
      <c r="H62" s="94" t="str">
        <f>VLOOKUP(G62,บัญชีโอน!$B:$D,3,FALSE)</f>
        <v>BBL</v>
      </c>
      <c r="I62" s="139"/>
      <c r="J62" s="50">
        <v>30000</v>
      </c>
      <c r="K62" s="49">
        <f t="shared" si="1"/>
        <v>3722451.5999999978</v>
      </c>
      <c r="L62" s="146"/>
      <c r="M62" s="48" t="s">
        <v>2089</v>
      </c>
      <c r="N62" s="47">
        <f>SUM(I60:I62)</f>
        <v>3000000</v>
      </c>
      <c r="O62" s="47">
        <f>SUM(J60:J62)</f>
        <v>200000</v>
      </c>
      <c r="P62" s="47">
        <f>2000000-O62</f>
        <v>1800000</v>
      </c>
      <c r="Q62" s="30"/>
      <c r="AD62" s="309">
        <v>59</v>
      </c>
      <c r="AE62" s="3" t="s">
        <v>2146</v>
      </c>
      <c r="AF62" s="308">
        <v>115707</v>
      </c>
      <c r="AG62" s="25"/>
      <c r="AH62" s="171" t="s">
        <v>68</v>
      </c>
      <c r="AI62" s="170">
        <v>320000</v>
      </c>
    </row>
    <row r="63" spans="1:35" ht="24.75" thickTop="1" x14ac:dyDescent="0.55000000000000004">
      <c r="A63" s="125" t="s">
        <v>2307</v>
      </c>
      <c r="B63" s="63"/>
      <c r="C63" s="70">
        <v>46155</v>
      </c>
      <c r="D63" s="69"/>
      <c r="E63" s="153" t="s">
        <v>237</v>
      </c>
      <c r="F63" s="153" t="s">
        <v>2135</v>
      </c>
      <c r="G63" s="68"/>
      <c r="H63" s="187" t="e">
        <f>VLOOKUP(G63,บัญชีโอน!$B:$D,3,FALSE)</f>
        <v>#N/A</v>
      </c>
      <c r="I63" s="66">
        <v>1751101</v>
      </c>
      <c r="J63" s="66"/>
      <c r="K63" s="66">
        <f t="shared" si="1"/>
        <v>5473552.5999999978</v>
      </c>
      <c r="L63" s="146"/>
      <c r="M63" s="30"/>
      <c r="N63" s="26"/>
      <c r="O63" s="26"/>
      <c r="P63" s="26"/>
      <c r="Q63" s="30"/>
      <c r="AD63" s="309">
        <v>60</v>
      </c>
      <c r="AE63" s="3" t="s">
        <v>422</v>
      </c>
      <c r="AF63" s="308">
        <v>308972</v>
      </c>
      <c r="AG63" s="172"/>
      <c r="AH63" s="165" t="s">
        <v>417</v>
      </c>
      <c r="AI63" s="169"/>
    </row>
    <row r="64" spans="1:35" x14ac:dyDescent="0.55000000000000004">
      <c r="A64" s="125"/>
      <c r="B64" s="88"/>
      <c r="C64" s="70"/>
      <c r="D64" s="69"/>
      <c r="E64" s="153"/>
      <c r="F64" s="153" t="s">
        <v>2308</v>
      </c>
      <c r="G64" s="68"/>
      <c r="H64" s="187" t="e">
        <f>VLOOKUP(G64,บัญชีโอน!$B:$D,3,FALSE)</f>
        <v>#N/A</v>
      </c>
      <c r="I64" s="66">
        <v>1500000</v>
      </c>
      <c r="J64" s="66"/>
      <c r="K64" s="66">
        <f t="shared" si="1"/>
        <v>6973552.5999999978</v>
      </c>
      <c r="L64" s="146"/>
      <c r="M64" s="30"/>
      <c r="N64" s="26"/>
      <c r="O64" s="26"/>
      <c r="P64" s="26"/>
      <c r="Q64" s="30"/>
      <c r="AD64" s="309">
        <v>61</v>
      </c>
      <c r="AE64" s="323" t="s">
        <v>2138</v>
      </c>
      <c r="AF64" s="324">
        <v>6754</v>
      </c>
      <c r="AG64" s="25"/>
      <c r="AH64" s="165" t="s">
        <v>908</v>
      </c>
      <c r="AI64" s="168">
        <v>495000</v>
      </c>
    </row>
    <row r="65" spans="1:35" x14ac:dyDescent="0.55000000000000004">
      <c r="A65" s="125" t="s">
        <v>2309</v>
      </c>
      <c r="B65" s="88"/>
      <c r="C65" s="70">
        <v>46155</v>
      </c>
      <c r="D65" s="69"/>
      <c r="E65" s="153" t="s">
        <v>2204</v>
      </c>
      <c r="F65" s="153" t="s">
        <v>2310</v>
      </c>
      <c r="G65" s="68" t="s">
        <v>1113</v>
      </c>
      <c r="H65" s="92" t="str">
        <f>VLOOKUP(G65,บัญชีโอน!$B:$D,3,FALSE)</f>
        <v>TTB</v>
      </c>
      <c r="I65" s="66"/>
      <c r="J65" s="66">
        <v>23862</v>
      </c>
      <c r="K65" s="66">
        <f t="shared" si="1"/>
        <v>6949690.5999999978</v>
      </c>
      <c r="L65" s="146"/>
      <c r="M65" s="30"/>
      <c r="N65" s="26"/>
      <c r="O65" s="26"/>
      <c r="P65" s="26"/>
      <c r="Q65" s="30"/>
      <c r="AD65" s="309">
        <v>62</v>
      </c>
      <c r="AE65" s="316" t="s">
        <v>2005</v>
      </c>
      <c r="AF65" s="317">
        <v>37620</v>
      </c>
      <c r="AG65" s="25"/>
      <c r="AH65" s="165" t="s">
        <v>2127</v>
      </c>
      <c r="AI65" s="164"/>
    </row>
    <row r="66" spans="1:35" x14ac:dyDescent="0.55000000000000004">
      <c r="A66" s="125"/>
      <c r="B66" s="88"/>
      <c r="C66" s="70">
        <v>46155</v>
      </c>
      <c r="D66" s="69"/>
      <c r="E66" s="153" t="s">
        <v>134</v>
      </c>
      <c r="F66" s="153" t="s">
        <v>2311</v>
      </c>
      <c r="G66" s="68" t="s">
        <v>1113</v>
      </c>
      <c r="H66" s="92" t="str">
        <f>VLOOKUP(G66,บัญชีโอน!$B:$D,3,FALSE)</f>
        <v>TTB</v>
      </c>
      <c r="I66" s="66"/>
      <c r="J66" s="66">
        <v>17343</v>
      </c>
      <c r="K66" s="66">
        <f t="shared" si="1"/>
        <v>6932347.5999999978</v>
      </c>
      <c r="L66" s="146"/>
      <c r="M66" s="30"/>
      <c r="N66" s="26"/>
      <c r="O66" s="26"/>
      <c r="P66" s="26"/>
      <c r="Q66" s="30"/>
      <c r="AD66" s="309">
        <v>63</v>
      </c>
      <c r="AE66" s="316" t="s">
        <v>2012</v>
      </c>
      <c r="AF66" s="317">
        <v>37620</v>
      </c>
      <c r="AG66" s="25"/>
      <c r="AH66" s="165" t="s">
        <v>134</v>
      </c>
      <c r="AI66" s="166">
        <v>680077</v>
      </c>
    </row>
    <row r="67" spans="1:35" x14ac:dyDescent="0.55000000000000004">
      <c r="A67" s="125" t="s">
        <v>2312</v>
      </c>
      <c r="B67" s="88"/>
      <c r="C67" s="70">
        <v>46155</v>
      </c>
      <c r="D67" s="69"/>
      <c r="E67" s="153" t="s">
        <v>134</v>
      </c>
      <c r="F67" s="153" t="s">
        <v>2313</v>
      </c>
      <c r="G67" s="68" t="s">
        <v>216</v>
      </c>
      <c r="H67" s="92" t="str">
        <f>VLOOKUP(G67,บัญชีโอน!$B:$D,3,FALSE)</f>
        <v>Kbank</v>
      </c>
      <c r="I67" s="66"/>
      <c r="J67" s="66">
        <v>160</v>
      </c>
      <c r="K67" s="66">
        <f t="shared" si="1"/>
        <v>6932187.5999999978</v>
      </c>
      <c r="L67" s="146"/>
      <c r="M67" s="30"/>
      <c r="N67" s="26"/>
      <c r="O67" s="26"/>
      <c r="P67" s="26"/>
      <c r="Q67" s="30"/>
      <c r="AD67" s="309">
        <v>64</v>
      </c>
      <c r="AE67" s="316" t="s">
        <v>2041</v>
      </c>
      <c r="AF67" s="317">
        <v>21600</v>
      </c>
      <c r="AG67" s="25"/>
      <c r="AH67" s="165" t="s">
        <v>83</v>
      </c>
      <c r="AI67" s="164"/>
    </row>
    <row r="68" spans="1:35" x14ac:dyDescent="0.55000000000000004">
      <c r="A68" s="125" t="s">
        <v>2314</v>
      </c>
      <c r="B68" s="88"/>
      <c r="C68" s="70">
        <v>46155</v>
      </c>
      <c r="D68" s="69"/>
      <c r="E68" s="153" t="s">
        <v>134</v>
      </c>
      <c r="F68" s="153" t="s">
        <v>2315</v>
      </c>
      <c r="G68" s="68" t="s">
        <v>1118</v>
      </c>
      <c r="H68" s="92" t="str">
        <f>VLOOKUP(G68,บัญชีโอน!$B:$D,3,FALSE)</f>
        <v>Kbank</v>
      </c>
      <c r="I68" s="66"/>
      <c r="J68" s="66">
        <v>143692</v>
      </c>
      <c r="K68" s="66">
        <f t="shared" si="1"/>
        <v>6788495.5999999978</v>
      </c>
      <c r="L68" s="146"/>
      <c r="M68" s="30"/>
      <c r="N68" s="26"/>
      <c r="O68" s="26"/>
      <c r="P68" s="26"/>
      <c r="Q68" s="30"/>
      <c r="AD68" s="309">
        <v>65</v>
      </c>
      <c r="AE68" s="316" t="s">
        <v>2046</v>
      </c>
      <c r="AF68" s="317">
        <v>46450</v>
      </c>
      <c r="AG68" s="25"/>
      <c r="AH68" s="165" t="s">
        <v>98</v>
      </c>
      <c r="AI68" s="164"/>
    </row>
    <row r="69" spans="1:35" x14ac:dyDescent="0.55000000000000004">
      <c r="A69" s="125" t="s">
        <v>2316</v>
      </c>
      <c r="B69" s="88"/>
      <c r="C69" s="70">
        <v>46155</v>
      </c>
      <c r="D69" s="69"/>
      <c r="E69" s="153" t="s">
        <v>2126</v>
      </c>
      <c r="F69" s="153" t="s">
        <v>2317</v>
      </c>
      <c r="G69" s="68" t="s">
        <v>1445</v>
      </c>
      <c r="H69" s="92" t="str">
        <f>VLOOKUP(G69,บัญชีโอน!$B:$D,3,FALSE)</f>
        <v>Kbank</v>
      </c>
      <c r="I69" s="66"/>
      <c r="J69" s="66">
        <v>6560</v>
      </c>
      <c r="K69" s="66">
        <f t="shared" si="1"/>
        <v>6781935.5999999978</v>
      </c>
      <c r="L69" s="146"/>
      <c r="M69" s="30"/>
      <c r="N69" s="26"/>
      <c r="O69" s="26"/>
      <c r="P69" s="26"/>
      <c r="Q69" s="30"/>
      <c r="AD69" s="309">
        <v>66</v>
      </c>
      <c r="AE69" s="316" t="s">
        <v>2058</v>
      </c>
      <c r="AF69" s="317">
        <v>17290</v>
      </c>
      <c r="AG69" s="25"/>
      <c r="AH69" s="165" t="s">
        <v>102</v>
      </c>
      <c r="AI69" s="164"/>
    </row>
    <row r="70" spans="1:35" x14ac:dyDescent="0.55000000000000004">
      <c r="A70" s="125" t="s">
        <v>2318</v>
      </c>
      <c r="B70" s="88"/>
      <c r="C70" s="70">
        <v>46155</v>
      </c>
      <c r="D70" s="69"/>
      <c r="E70" s="153" t="s">
        <v>2227</v>
      </c>
      <c r="F70" s="153" t="s">
        <v>2319</v>
      </c>
      <c r="G70" s="68" t="s">
        <v>1365</v>
      </c>
      <c r="H70" s="92" t="str">
        <f>VLOOKUP(G70,บัญชีโอน!$B:$D,3,FALSE)</f>
        <v>Kbank</v>
      </c>
      <c r="I70" s="66"/>
      <c r="J70" s="66">
        <v>2140</v>
      </c>
      <c r="K70" s="66">
        <f t="shared" si="1"/>
        <v>6779795.5999999978</v>
      </c>
      <c r="L70" s="146"/>
      <c r="M70" s="30"/>
      <c r="N70" s="26"/>
      <c r="O70" s="26"/>
      <c r="P70" s="26"/>
      <c r="Q70" s="30"/>
      <c r="AD70" s="309">
        <v>67</v>
      </c>
      <c r="AE70" s="316" t="s">
        <v>2068</v>
      </c>
      <c r="AF70" s="317">
        <v>8500</v>
      </c>
      <c r="AG70" s="25"/>
      <c r="AH70" s="165" t="s">
        <v>2123</v>
      </c>
      <c r="AI70" s="164">
        <v>15000</v>
      </c>
    </row>
    <row r="71" spans="1:35" x14ac:dyDescent="0.55000000000000004">
      <c r="A71" s="125"/>
      <c r="B71" s="88"/>
      <c r="C71" s="70">
        <v>46155</v>
      </c>
      <c r="D71" s="69"/>
      <c r="E71" s="153" t="s">
        <v>680</v>
      </c>
      <c r="F71" s="153" t="s">
        <v>2320</v>
      </c>
      <c r="G71" s="68" t="s">
        <v>1365</v>
      </c>
      <c r="H71" s="92" t="str">
        <f>VLOOKUP(G71,บัญชีโอน!$B:$D,3,FALSE)</f>
        <v>Kbank</v>
      </c>
      <c r="I71" s="66"/>
      <c r="J71" s="66">
        <v>31811</v>
      </c>
      <c r="K71" s="66">
        <f t="shared" si="1"/>
        <v>6747984.5999999978</v>
      </c>
      <c r="L71" s="146"/>
      <c r="M71" s="30"/>
      <c r="N71" s="26"/>
      <c r="O71" s="26"/>
      <c r="P71" s="26"/>
      <c r="Q71" s="30"/>
      <c r="AD71" s="325"/>
      <c r="AE71" s="3" t="s">
        <v>2321</v>
      </c>
      <c r="AF71" s="326">
        <v>11990262.59</v>
      </c>
      <c r="AG71" s="25"/>
      <c r="AH71" s="165" t="s">
        <v>2120</v>
      </c>
      <c r="AI71" s="164"/>
    </row>
    <row r="72" spans="1:35" x14ac:dyDescent="0.55000000000000004">
      <c r="A72" s="125" t="s">
        <v>2322</v>
      </c>
      <c r="B72" s="88"/>
      <c r="C72" s="70">
        <v>46155</v>
      </c>
      <c r="D72" s="69"/>
      <c r="E72" s="153" t="s">
        <v>680</v>
      </c>
      <c r="F72" s="153" t="s">
        <v>2323</v>
      </c>
      <c r="G72" s="68" t="s">
        <v>1967</v>
      </c>
      <c r="H72" s="92" t="str">
        <f>VLOOKUP(G72,บัญชีโอน!$B:$D,3,FALSE)</f>
        <v>Kbank</v>
      </c>
      <c r="I72" s="66"/>
      <c r="J72" s="66">
        <v>20116</v>
      </c>
      <c r="K72" s="66">
        <f t="shared" si="1"/>
        <v>6727868.5999999978</v>
      </c>
      <c r="L72" s="146"/>
      <c r="M72" s="30"/>
      <c r="N72" s="26"/>
      <c r="O72" s="26"/>
      <c r="P72" s="26"/>
      <c r="Q72" s="30"/>
      <c r="AE72" s="25"/>
      <c r="AF72" s="327"/>
      <c r="AG72" s="25"/>
      <c r="AH72" s="165" t="s">
        <v>2119</v>
      </c>
      <c r="AI72" s="164"/>
    </row>
    <row r="73" spans="1:35" ht="24.75" thickBot="1" x14ac:dyDescent="0.6">
      <c r="A73" s="125" t="s">
        <v>2324</v>
      </c>
      <c r="B73" s="88"/>
      <c r="C73" s="70">
        <v>46155</v>
      </c>
      <c r="D73" s="69"/>
      <c r="E73" s="153" t="s">
        <v>2198</v>
      </c>
      <c r="F73" s="153" t="s">
        <v>2325</v>
      </c>
      <c r="G73" s="68" t="s">
        <v>1198</v>
      </c>
      <c r="H73" s="92" t="str">
        <f>VLOOKUP(G73,บัญชีโอน!$B:$D,3,FALSE)</f>
        <v>Kbank</v>
      </c>
      <c r="I73" s="66"/>
      <c r="J73" s="66">
        <v>9000</v>
      </c>
      <c r="K73" s="66">
        <f t="shared" ref="K73:K78" si="5">K72+I73-J73</f>
        <v>6718868.5999999978</v>
      </c>
      <c r="L73" s="146"/>
      <c r="M73" s="30"/>
      <c r="N73" s="26"/>
      <c r="O73" s="26"/>
      <c r="P73" s="26"/>
      <c r="Q73" s="30"/>
      <c r="AE73" s="25"/>
      <c r="AF73" s="327"/>
      <c r="AG73" s="25"/>
      <c r="AH73" s="161" t="s">
        <v>251</v>
      </c>
      <c r="AI73" s="160">
        <f>SUM(AI55:AI72)</f>
        <v>3763616.66</v>
      </c>
    </row>
    <row r="74" spans="1:35" ht="24.75" thickTop="1" x14ac:dyDescent="0.55000000000000004">
      <c r="A74" s="125"/>
      <c r="B74" s="88"/>
      <c r="C74" s="70">
        <v>46155</v>
      </c>
      <c r="D74" s="61"/>
      <c r="E74" s="153" t="s">
        <v>2125</v>
      </c>
      <c r="F74" s="68" t="s">
        <v>2326</v>
      </c>
      <c r="G74" s="68" t="s">
        <v>1198</v>
      </c>
      <c r="H74" s="92" t="str">
        <f>VLOOKUP(G74,บัญชีโอน!$B:$D,3,FALSE)</f>
        <v>Kbank</v>
      </c>
      <c r="I74" s="59"/>
      <c r="J74" s="59">
        <v>2980</v>
      </c>
      <c r="K74" s="66">
        <f t="shared" si="5"/>
        <v>6715888.5999999978</v>
      </c>
      <c r="L74" s="146"/>
      <c r="M74" s="58">
        <f>C63</f>
        <v>46155</v>
      </c>
      <c r="N74" s="57" t="s">
        <v>2092</v>
      </c>
      <c r="O74" s="57" t="s">
        <v>2091</v>
      </c>
      <c r="P74" s="57" t="s">
        <v>2090</v>
      </c>
      <c r="Q74" s="30">
        <v>8</v>
      </c>
      <c r="AE74" s="25"/>
      <c r="AF74" s="327"/>
      <c r="AG74" s="25"/>
      <c r="AI74" s="74"/>
    </row>
    <row r="75" spans="1:35" ht="24.75" thickBot="1" x14ac:dyDescent="0.6">
      <c r="A75" s="134" t="s">
        <v>2327</v>
      </c>
      <c r="B75" s="134"/>
      <c r="C75" s="54">
        <v>46155</v>
      </c>
      <c r="D75" s="53"/>
      <c r="E75" s="52" t="s">
        <v>2211</v>
      </c>
      <c r="F75" s="123" t="s">
        <v>2328</v>
      </c>
      <c r="G75" s="123" t="s">
        <v>1175</v>
      </c>
      <c r="H75" s="94" t="e">
        <f>VLOOKUP(G75,บัญชีโอน!$B:$D,3,FALSE)</f>
        <v>#N/A</v>
      </c>
      <c r="I75" s="50"/>
      <c r="J75" s="50">
        <v>4320</v>
      </c>
      <c r="K75" s="49">
        <f t="shared" si="5"/>
        <v>6711568.5999999978</v>
      </c>
      <c r="L75" s="146"/>
      <c r="M75" s="48" t="s">
        <v>2089</v>
      </c>
      <c r="N75" s="47">
        <f>SUM(I63:I75)</f>
        <v>3251101</v>
      </c>
      <c r="O75" s="47">
        <f>SUM(J63:J75)</f>
        <v>261984</v>
      </c>
      <c r="P75" s="47">
        <f>2000000-O75</f>
        <v>1738016</v>
      </c>
      <c r="Q75" s="30"/>
      <c r="AE75" s="25"/>
      <c r="AF75" s="327"/>
      <c r="AG75" s="25"/>
      <c r="AH75" s="156" t="s">
        <v>2111</v>
      </c>
      <c r="AI75" s="152"/>
    </row>
    <row r="76" spans="1:35" ht="24.75" thickTop="1" x14ac:dyDescent="0.55000000000000004">
      <c r="A76" s="131" t="s">
        <v>2329</v>
      </c>
      <c r="B76" s="157"/>
      <c r="C76" s="87">
        <v>46156</v>
      </c>
      <c r="D76" s="78"/>
      <c r="E76" s="68" t="s">
        <v>428</v>
      </c>
      <c r="F76" s="77" t="s">
        <v>2330</v>
      </c>
      <c r="G76" s="77" t="s">
        <v>477</v>
      </c>
      <c r="H76" s="138" t="str">
        <f>VLOOKUP(G76,บัญชีโอน!$B:$D,3,FALSE)</f>
        <v>SCB</v>
      </c>
      <c r="I76" s="75"/>
      <c r="J76" s="75">
        <v>206635</v>
      </c>
      <c r="K76" s="107">
        <f t="shared" si="5"/>
        <v>6504933.5999999978</v>
      </c>
      <c r="L76" s="146"/>
      <c r="M76" s="48"/>
      <c r="N76" s="328"/>
      <c r="O76" s="328"/>
      <c r="P76" s="328"/>
      <c r="Q76" s="30"/>
      <c r="AE76" s="25"/>
      <c r="AF76" s="327"/>
      <c r="AG76" s="25"/>
      <c r="AH76" s="152" t="s">
        <v>2116</v>
      </c>
      <c r="AI76" s="152"/>
    </row>
    <row r="77" spans="1:35" x14ac:dyDescent="0.55000000000000004">
      <c r="A77" s="125"/>
      <c r="B77" s="163"/>
      <c r="C77" s="110"/>
      <c r="D77" s="69"/>
      <c r="E77" s="68"/>
      <c r="F77" s="162"/>
      <c r="G77" s="68"/>
      <c r="H77" s="96" t="e">
        <f>VLOOKUP(G77,บัญชีโอน!$B:$D,3,FALSE)</f>
        <v>#N/A</v>
      </c>
      <c r="I77" s="66"/>
      <c r="J77" s="66"/>
      <c r="K77" s="107">
        <f>K76+I77-J77</f>
        <v>6504933.5999999978</v>
      </c>
      <c r="L77" s="146"/>
      <c r="M77" s="58">
        <f>C76</f>
        <v>46156</v>
      </c>
      <c r="N77" s="116" t="s">
        <v>2092</v>
      </c>
      <c r="O77" s="116" t="s">
        <v>2091</v>
      </c>
      <c r="P77" s="116" t="s">
        <v>2090</v>
      </c>
      <c r="Q77" s="30">
        <v>9</v>
      </c>
      <c r="AE77" s="25"/>
      <c r="AF77" s="327"/>
      <c r="AG77" s="25"/>
      <c r="AH77" s="152" t="s">
        <v>2115</v>
      </c>
      <c r="AI77" s="152">
        <v>2140</v>
      </c>
    </row>
    <row r="78" spans="1:35" ht="24.75" thickBot="1" x14ac:dyDescent="0.6">
      <c r="A78" s="134"/>
      <c r="B78" s="159"/>
      <c r="C78" s="54"/>
      <c r="D78" s="142"/>
      <c r="E78" s="141"/>
      <c r="F78" s="158"/>
      <c r="G78" s="141"/>
      <c r="H78" s="94" t="e">
        <f>VLOOKUP(G78,บัญชีโอน!$B:$D,3,FALSE)</f>
        <v>#N/A</v>
      </c>
      <c r="I78" s="139"/>
      <c r="J78" s="139"/>
      <c r="K78" s="49">
        <f t="shared" si="5"/>
        <v>6504933.5999999978</v>
      </c>
      <c r="L78" s="146"/>
      <c r="M78" s="48" t="s">
        <v>2089</v>
      </c>
      <c r="N78" s="47">
        <f>SUM(I76:I78)</f>
        <v>0</v>
      </c>
      <c r="O78" s="47">
        <f>SUM(J76:J78)</f>
        <v>206635</v>
      </c>
      <c r="P78" s="47">
        <f>2000000-O78</f>
        <v>1793365</v>
      </c>
      <c r="Q78" s="30"/>
      <c r="AE78" s="25"/>
      <c r="AF78" s="327"/>
      <c r="AG78" s="25"/>
      <c r="AH78" s="152" t="s">
        <v>2114</v>
      </c>
      <c r="AI78" s="152"/>
    </row>
    <row r="79" spans="1:35" ht="24.75" thickTop="1" x14ac:dyDescent="0.55000000000000004">
      <c r="A79" s="125" t="s">
        <v>2331</v>
      </c>
      <c r="B79" s="63"/>
      <c r="C79" s="70">
        <v>46157</v>
      </c>
      <c r="D79" s="69"/>
      <c r="E79" s="68" t="s">
        <v>210</v>
      </c>
      <c r="F79" s="68" t="s">
        <v>2302</v>
      </c>
      <c r="G79" s="68" t="s">
        <v>216</v>
      </c>
      <c r="H79" s="92" t="str">
        <f>VLOOKUP(G79,บัญชีโอน!$B:$D,3,FALSE)</f>
        <v>Kbank</v>
      </c>
      <c r="I79" s="66"/>
      <c r="J79" s="66">
        <v>15</v>
      </c>
      <c r="K79" s="66">
        <f>K78+I79-J79</f>
        <v>6504918.5999999978</v>
      </c>
      <c r="L79" s="146"/>
      <c r="M79" s="48"/>
      <c r="N79" s="83"/>
      <c r="O79" s="83"/>
      <c r="P79" s="83"/>
      <c r="Q79" s="30"/>
      <c r="AE79" s="25"/>
      <c r="AF79" s="327"/>
      <c r="AG79" s="25"/>
      <c r="AH79" s="154" t="s">
        <v>2113</v>
      </c>
      <c r="AI79" s="152"/>
    </row>
    <row r="80" spans="1:35" x14ac:dyDescent="0.55000000000000004">
      <c r="A80" s="125" t="s">
        <v>2332</v>
      </c>
      <c r="B80" s="63"/>
      <c r="C80" s="70">
        <v>46157</v>
      </c>
      <c r="D80" s="101"/>
      <c r="E80" s="68" t="s">
        <v>210</v>
      </c>
      <c r="F80" s="68" t="s">
        <v>2302</v>
      </c>
      <c r="G80" s="68" t="s">
        <v>1118</v>
      </c>
      <c r="H80" s="92" t="str">
        <f>VLOOKUP(G80,บัญชีโอน!$B:$D,3,FALSE)</f>
        <v>Kbank</v>
      </c>
      <c r="I80" s="66"/>
      <c r="J80" s="66">
        <v>23437</v>
      </c>
      <c r="K80" s="66">
        <f t="shared" ref="K80:K83" si="6">K79+I80-J80</f>
        <v>6481481.5999999978</v>
      </c>
      <c r="L80" s="146"/>
      <c r="M80" s="48"/>
      <c r="N80" s="81"/>
      <c r="O80" s="81"/>
      <c r="P80" s="81"/>
      <c r="Q80" s="30"/>
      <c r="AE80" s="25"/>
      <c r="AF80" s="327"/>
      <c r="AG80" s="25"/>
      <c r="AH80" s="152" t="s">
        <v>2112</v>
      </c>
      <c r="AI80" s="152"/>
    </row>
    <row r="81" spans="1:35" ht="24.75" thickBot="1" x14ac:dyDescent="0.6">
      <c r="A81" s="125" t="s">
        <v>2333</v>
      </c>
      <c r="B81" s="63"/>
      <c r="C81" s="70">
        <v>46157</v>
      </c>
      <c r="D81" s="101"/>
      <c r="E81" s="68" t="s">
        <v>2241</v>
      </c>
      <c r="F81" s="68" t="s">
        <v>2334</v>
      </c>
      <c r="G81" s="68" t="s">
        <v>682</v>
      </c>
      <c r="H81" s="92" t="str">
        <f>VLOOKUP(G81,บัญชีโอน!$B:$D,3,FALSE)</f>
        <v>Kbank</v>
      </c>
      <c r="I81" s="66"/>
      <c r="J81" s="66">
        <v>22500</v>
      </c>
      <c r="K81" s="66">
        <f t="shared" si="6"/>
        <v>6458981.5999999978</v>
      </c>
      <c r="L81" s="146"/>
      <c r="M81" s="48"/>
      <c r="N81" s="81"/>
      <c r="O81" s="81"/>
      <c r="P81" s="81"/>
      <c r="Q81" s="30"/>
      <c r="AE81" s="25"/>
      <c r="AF81" s="327"/>
      <c r="AG81" s="25"/>
      <c r="AH81" s="150" t="s">
        <v>2111</v>
      </c>
      <c r="AI81" s="150">
        <f>SUM(AI76:AI80)</f>
        <v>2140</v>
      </c>
    </row>
    <row r="82" spans="1:35" ht="24.75" thickTop="1" x14ac:dyDescent="0.55000000000000004">
      <c r="A82" s="125" t="s">
        <v>2335</v>
      </c>
      <c r="B82" s="63"/>
      <c r="C82" s="70">
        <v>46157</v>
      </c>
      <c r="D82" s="101"/>
      <c r="E82" s="68" t="s">
        <v>2126</v>
      </c>
      <c r="F82" s="68" t="s">
        <v>2336</v>
      </c>
      <c r="G82" s="60" t="s">
        <v>1288</v>
      </c>
      <c r="H82" s="92" t="str">
        <f>VLOOKUP(G82,บัญชีโอน!$B:$D,3,FALSE)</f>
        <v>SCB</v>
      </c>
      <c r="I82" s="66"/>
      <c r="J82" s="66">
        <v>116100</v>
      </c>
      <c r="K82" s="66">
        <f t="shared" si="6"/>
        <v>6342881.5999999978</v>
      </c>
      <c r="L82" s="146"/>
      <c r="M82" s="48"/>
      <c r="N82" s="81"/>
      <c r="O82" s="81"/>
      <c r="P82" s="81"/>
      <c r="Q82" s="30"/>
      <c r="AE82" s="25"/>
      <c r="AF82" s="327"/>
      <c r="AG82" s="25"/>
      <c r="AH82" s="149"/>
      <c r="AI82" s="148"/>
    </row>
    <row r="83" spans="1:35" ht="26.25" x14ac:dyDescent="0.55000000000000004">
      <c r="A83" s="125" t="s">
        <v>2337</v>
      </c>
      <c r="B83" s="63"/>
      <c r="C83" s="70">
        <v>46157</v>
      </c>
      <c r="D83" s="69"/>
      <c r="E83" s="68" t="s">
        <v>2222</v>
      </c>
      <c r="F83" s="153" t="s">
        <v>2338</v>
      </c>
      <c r="G83" s="93" t="s">
        <v>1299</v>
      </c>
      <c r="H83" s="92" t="str">
        <f>VLOOKUP(G83,บัญชีโอน!$B:$D,3,FALSE)</f>
        <v>Kbank</v>
      </c>
      <c r="I83" s="66"/>
      <c r="J83" s="66">
        <v>2247</v>
      </c>
      <c r="K83" s="66">
        <f t="shared" si="6"/>
        <v>6340634.5999999978</v>
      </c>
      <c r="L83" s="146"/>
      <c r="M83" s="58">
        <f>C79</f>
        <v>46157</v>
      </c>
      <c r="N83" s="57" t="s">
        <v>2092</v>
      </c>
      <c r="O83" s="57" t="s">
        <v>2091</v>
      </c>
      <c r="P83" s="57" t="s">
        <v>2090</v>
      </c>
      <c r="Q83" s="30">
        <v>10</v>
      </c>
      <c r="AE83" s="2"/>
      <c r="AF83" s="145"/>
      <c r="AG83" s="25"/>
      <c r="AH83" s="147" t="s">
        <v>28</v>
      </c>
      <c r="AI83" s="115"/>
    </row>
    <row r="84" spans="1:35" ht="24.75" thickBot="1" x14ac:dyDescent="0.6">
      <c r="A84" s="134" t="s">
        <v>2339</v>
      </c>
      <c r="B84" s="45"/>
      <c r="C84" s="54">
        <v>46157</v>
      </c>
      <c r="D84" s="53"/>
      <c r="E84" s="52" t="s">
        <v>2207</v>
      </c>
      <c r="F84" s="123" t="s">
        <v>2340</v>
      </c>
      <c r="G84" s="151" t="s">
        <v>318</v>
      </c>
      <c r="H84" s="94" t="str">
        <f>VLOOKUP(G84,บัญชีโอน!$B:$D,3,FALSE)</f>
        <v>Kbank</v>
      </c>
      <c r="I84" s="50"/>
      <c r="J84" s="50">
        <v>534600</v>
      </c>
      <c r="K84" s="49">
        <f>K83+I84-J84</f>
        <v>5806034.5999999978</v>
      </c>
      <c r="L84" s="146"/>
      <c r="M84" s="48" t="s">
        <v>2089</v>
      </c>
      <c r="N84" s="47">
        <f>SUM(I79:I84)</f>
        <v>0</v>
      </c>
      <c r="O84" s="47">
        <f>SUM(J79:J84)</f>
        <v>698899</v>
      </c>
      <c r="P84" s="47">
        <f>2000000-O84</f>
        <v>1301101</v>
      </c>
      <c r="Q84" s="30"/>
      <c r="AE84" s="2"/>
      <c r="AF84" s="145"/>
      <c r="AG84" s="25"/>
      <c r="AH84" s="114" t="s">
        <v>118</v>
      </c>
      <c r="AI84" s="115">
        <v>10480</v>
      </c>
    </row>
    <row r="85" spans="1:35" ht="24.75" thickTop="1" x14ac:dyDescent="0.55000000000000004">
      <c r="A85" s="125" t="s">
        <v>2341</v>
      </c>
      <c r="B85" s="63"/>
      <c r="C85" s="113">
        <v>46160</v>
      </c>
      <c r="D85" s="69"/>
      <c r="E85" s="68" t="s">
        <v>422</v>
      </c>
      <c r="F85" s="93" t="s">
        <v>2342</v>
      </c>
      <c r="G85" s="93" t="s">
        <v>266</v>
      </c>
      <c r="H85" s="96" t="str">
        <f>VLOOKUP(G85,บัญชีโอน!$B:$D,3,FALSE)</f>
        <v>Kbank</v>
      </c>
      <c r="I85" s="66"/>
      <c r="J85" s="66">
        <v>8972</v>
      </c>
      <c r="K85" s="66">
        <f t="shared" ref="K85:K101" si="7">K84+I85-J85</f>
        <v>5797062.5999999978</v>
      </c>
      <c r="L85" s="146"/>
      <c r="M85" s="48"/>
      <c r="N85" s="81"/>
      <c r="O85" s="81"/>
      <c r="P85" s="81"/>
      <c r="Q85" s="30"/>
      <c r="AE85" s="2"/>
      <c r="AF85" s="145"/>
      <c r="AG85" s="25"/>
      <c r="AH85" s="114" t="s">
        <v>2110</v>
      </c>
      <c r="AI85" s="115"/>
    </row>
    <row r="86" spans="1:35" x14ac:dyDescent="0.55000000000000004">
      <c r="A86" s="125" t="s">
        <v>2343</v>
      </c>
      <c r="B86" s="63"/>
      <c r="C86" s="113">
        <v>46160</v>
      </c>
      <c r="D86" s="69"/>
      <c r="E86" s="68" t="s">
        <v>677</v>
      </c>
      <c r="F86" s="93" t="s">
        <v>2344</v>
      </c>
      <c r="G86" s="93" t="s">
        <v>677</v>
      </c>
      <c r="H86" s="92" t="str">
        <f>VLOOKUP(G86,บัญชีโอน!$B:$D,3,FALSE)</f>
        <v>BBL</v>
      </c>
      <c r="I86" s="66"/>
      <c r="J86" s="66">
        <v>52500</v>
      </c>
      <c r="K86" s="66">
        <f>K85+I86-J86</f>
        <v>5744562.5999999978</v>
      </c>
      <c r="L86" s="146"/>
      <c r="M86" s="58">
        <f>C86</f>
        <v>46160</v>
      </c>
      <c r="N86" s="57" t="s">
        <v>2092</v>
      </c>
      <c r="O86" s="57" t="s">
        <v>2091</v>
      </c>
      <c r="P86" s="57" t="s">
        <v>2090</v>
      </c>
      <c r="Q86" s="30">
        <v>11</v>
      </c>
      <c r="AE86" s="2"/>
      <c r="AF86" s="145"/>
      <c r="AG86" s="25"/>
      <c r="AH86" s="114" t="s">
        <v>175</v>
      </c>
      <c r="AI86" s="115"/>
    </row>
    <row r="87" spans="1:35" ht="24.75" thickBot="1" x14ac:dyDescent="0.6">
      <c r="A87" s="134" t="s">
        <v>2345</v>
      </c>
      <c r="B87" s="45"/>
      <c r="C87" s="112">
        <v>46160</v>
      </c>
      <c r="D87" s="53"/>
      <c r="E87" s="52" t="s">
        <v>2125</v>
      </c>
      <c r="F87" s="123" t="s">
        <v>2346</v>
      </c>
      <c r="G87" s="123" t="s">
        <v>812</v>
      </c>
      <c r="H87" s="94" t="str">
        <f>VLOOKUP(G87,บัญชีโอน!$B:$D,3,FALSE)</f>
        <v>Kbank</v>
      </c>
      <c r="I87" s="50"/>
      <c r="J87" s="50">
        <v>6172</v>
      </c>
      <c r="K87" s="49">
        <f>K86+I87-J87</f>
        <v>5738390.5999999978</v>
      </c>
      <c r="L87" s="126"/>
      <c r="M87" s="48" t="s">
        <v>2089</v>
      </c>
      <c r="N87" s="47">
        <f>SUM(I85:I87)</f>
        <v>0</v>
      </c>
      <c r="O87" s="47">
        <f>SUM(J85:J87)</f>
        <v>67644</v>
      </c>
      <c r="P87" s="47">
        <f>2000000-O87</f>
        <v>1932356</v>
      </c>
      <c r="Q87" s="30"/>
      <c r="AE87" s="2"/>
      <c r="AF87" s="145"/>
      <c r="AH87" s="114" t="s">
        <v>188</v>
      </c>
      <c r="AI87" s="115"/>
    </row>
    <row r="88" spans="1:35" ht="24.75" thickTop="1" x14ac:dyDescent="0.55000000000000004">
      <c r="A88" s="125" t="s">
        <v>2347</v>
      </c>
      <c r="B88" s="63"/>
      <c r="C88" s="113">
        <v>46161</v>
      </c>
      <c r="D88" s="69"/>
      <c r="E88" s="68" t="s">
        <v>428</v>
      </c>
      <c r="F88" s="60" t="s">
        <v>2348</v>
      </c>
      <c r="G88" s="68" t="s">
        <v>801</v>
      </c>
      <c r="H88" s="96" t="str">
        <f>VLOOKUP(G88,บัญชีโอน!$B:$D,3,FALSE)</f>
        <v>QRCode</v>
      </c>
      <c r="I88" s="66"/>
      <c r="J88" s="66">
        <v>12.66</v>
      </c>
      <c r="K88" s="66">
        <f t="shared" si="7"/>
        <v>5738377.9399999976</v>
      </c>
      <c r="L88" s="126"/>
      <c r="M88" s="30"/>
      <c r="N88" s="26"/>
      <c r="O88" s="26"/>
      <c r="P88" s="26"/>
      <c r="Q88" s="30"/>
      <c r="AE88" s="2"/>
      <c r="AF88" s="145"/>
      <c r="AH88" s="106" t="s">
        <v>210</v>
      </c>
      <c r="AI88" s="105">
        <v>23452</v>
      </c>
    </row>
    <row r="89" spans="1:35" x14ac:dyDescent="0.55000000000000004">
      <c r="A89" s="125" t="s">
        <v>2349</v>
      </c>
      <c r="B89" s="63"/>
      <c r="C89" s="70">
        <v>46161</v>
      </c>
      <c r="D89" s="69"/>
      <c r="E89" s="68" t="s">
        <v>2118</v>
      </c>
      <c r="F89" s="68" t="s">
        <v>2117</v>
      </c>
      <c r="G89" s="68" t="s">
        <v>108</v>
      </c>
      <c r="H89" s="96" t="str">
        <f>VLOOKUP(G89,บัญชีโอน!$B:$D,3,FALSE)</f>
        <v>BBL</v>
      </c>
      <c r="I89" s="66"/>
      <c r="J89" s="66">
        <v>500000</v>
      </c>
      <c r="K89" s="66">
        <f t="shared" si="7"/>
        <v>5238377.9399999976</v>
      </c>
      <c r="L89" s="126"/>
      <c r="M89" s="30"/>
      <c r="N89" s="26"/>
      <c r="O89" s="26"/>
      <c r="P89" s="26"/>
      <c r="Q89" s="30"/>
      <c r="AH89" s="106" t="s">
        <v>270</v>
      </c>
      <c r="AI89" s="115">
        <v>56430</v>
      </c>
    </row>
    <row r="90" spans="1:35" x14ac:dyDescent="0.55000000000000004">
      <c r="A90" s="125" t="s">
        <v>2350</v>
      </c>
      <c r="B90" s="63"/>
      <c r="C90" s="113">
        <v>46161</v>
      </c>
      <c r="D90" s="69"/>
      <c r="E90" s="68" t="s">
        <v>2139</v>
      </c>
      <c r="F90" s="68" t="s">
        <v>2351</v>
      </c>
      <c r="G90" s="68" t="s">
        <v>565</v>
      </c>
      <c r="H90" s="96" t="str">
        <f>VLOOKUP(G90,บัญชีโอน!$B:$D,3,FALSE)</f>
        <v>BBL</v>
      </c>
      <c r="I90" s="66"/>
      <c r="J90" s="66">
        <v>200000</v>
      </c>
      <c r="K90" s="66">
        <f t="shared" si="7"/>
        <v>5038377.9399999976</v>
      </c>
      <c r="L90" s="126"/>
      <c r="M90" s="30"/>
      <c r="N90" s="26"/>
      <c r="O90" s="26"/>
      <c r="P90" s="26"/>
      <c r="Q90" s="30"/>
      <c r="AH90" s="114" t="s">
        <v>307</v>
      </c>
      <c r="AI90" s="115"/>
    </row>
    <row r="91" spans="1:35" x14ac:dyDescent="0.55000000000000004">
      <c r="A91" s="125" t="s">
        <v>2352</v>
      </c>
      <c r="B91" s="63"/>
      <c r="C91" s="70">
        <v>46161</v>
      </c>
      <c r="D91" s="69"/>
      <c r="E91" s="68" t="s">
        <v>68</v>
      </c>
      <c r="F91" s="68" t="s">
        <v>2353</v>
      </c>
      <c r="G91" s="68" t="s">
        <v>1606</v>
      </c>
      <c r="H91" s="96" t="str">
        <f>VLOOKUP(G91,บัญชีโอน!$B:$D,3,FALSE)</f>
        <v>BBL</v>
      </c>
      <c r="I91" s="66"/>
      <c r="J91" s="66">
        <v>105000</v>
      </c>
      <c r="K91" s="66">
        <f t="shared" si="7"/>
        <v>4933377.9399999976</v>
      </c>
      <c r="L91" s="126"/>
      <c r="M91" s="30"/>
      <c r="N91" s="26"/>
      <c r="O91" s="26"/>
      <c r="P91" s="26"/>
      <c r="Q91" s="30"/>
      <c r="AH91" s="114" t="s">
        <v>2109</v>
      </c>
      <c r="AI91" s="115"/>
    </row>
    <row r="92" spans="1:35" x14ac:dyDescent="0.55000000000000004">
      <c r="A92" s="125" t="s">
        <v>2354</v>
      </c>
      <c r="B92" s="63"/>
      <c r="C92" s="70">
        <v>46161</v>
      </c>
      <c r="D92" s="69"/>
      <c r="E92" s="68" t="s">
        <v>2126</v>
      </c>
      <c r="F92" s="68" t="s">
        <v>2355</v>
      </c>
      <c r="G92" s="68" t="s">
        <v>1445</v>
      </c>
      <c r="H92" s="96" t="str">
        <f>VLOOKUP(G92,บัญชีโอน!$B:$D,3,FALSE)</f>
        <v>Kbank</v>
      </c>
      <c r="I92" s="66"/>
      <c r="J92" s="66">
        <v>8606</v>
      </c>
      <c r="K92" s="66">
        <f t="shared" si="7"/>
        <v>4924771.9399999976</v>
      </c>
      <c r="L92" s="126"/>
      <c r="M92" s="30"/>
      <c r="N92" s="26"/>
      <c r="O92" s="26"/>
      <c r="P92" s="26"/>
      <c r="Q92" s="30"/>
      <c r="AH92" s="114" t="s">
        <v>2108</v>
      </c>
      <c r="AI92" s="115"/>
    </row>
    <row r="93" spans="1:35" x14ac:dyDescent="0.55000000000000004">
      <c r="A93" s="125" t="s">
        <v>2356</v>
      </c>
      <c r="B93" s="63"/>
      <c r="C93" s="70">
        <v>46161</v>
      </c>
      <c r="D93" s="69"/>
      <c r="E93" s="68" t="s">
        <v>2208</v>
      </c>
      <c r="F93" s="68" t="s">
        <v>2357</v>
      </c>
      <c r="G93" s="68" t="s">
        <v>1331</v>
      </c>
      <c r="H93" s="96" t="str">
        <f>VLOOKUP(G93,บัญชีโอน!$B:$D,3,FALSE)</f>
        <v>Kbank</v>
      </c>
      <c r="I93" s="66"/>
      <c r="J93" s="66">
        <v>11556</v>
      </c>
      <c r="K93" s="66">
        <f t="shared" si="7"/>
        <v>4913215.9399999976</v>
      </c>
      <c r="L93" s="126"/>
      <c r="M93" s="30"/>
      <c r="N93" s="26"/>
      <c r="O93" s="26"/>
      <c r="P93" s="26"/>
      <c r="Q93" s="30"/>
      <c r="AH93" s="106" t="s">
        <v>2107</v>
      </c>
      <c r="AI93" s="105"/>
    </row>
    <row r="94" spans="1:35" x14ac:dyDescent="0.55000000000000004">
      <c r="A94" s="125" t="s">
        <v>2358</v>
      </c>
      <c r="B94" s="63"/>
      <c r="C94" s="70">
        <v>46161</v>
      </c>
      <c r="D94" s="69"/>
      <c r="E94" s="68" t="s">
        <v>2126</v>
      </c>
      <c r="F94" s="68" t="s">
        <v>2359</v>
      </c>
      <c r="G94" s="68" t="s">
        <v>2017</v>
      </c>
      <c r="H94" s="96" t="str">
        <f>VLOOKUP(G94,บัญชีโอน!$B:$D,3,FALSE)</f>
        <v>Kbank</v>
      </c>
      <c r="I94" s="66"/>
      <c r="J94" s="66">
        <v>52681</v>
      </c>
      <c r="K94" s="66">
        <f t="shared" si="7"/>
        <v>4860534.9399999976</v>
      </c>
      <c r="L94" s="126"/>
      <c r="M94" s="30"/>
      <c r="N94" s="26"/>
      <c r="O94" s="26"/>
      <c r="P94" s="26"/>
      <c r="Q94" s="30"/>
      <c r="AH94" s="106" t="s">
        <v>2106</v>
      </c>
      <c r="AI94" s="105"/>
    </row>
    <row r="95" spans="1:35" x14ac:dyDescent="0.55000000000000004">
      <c r="A95" s="125" t="s">
        <v>2360</v>
      </c>
      <c r="B95" s="63"/>
      <c r="C95" s="70">
        <v>46161</v>
      </c>
      <c r="D95" s="69"/>
      <c r="E95" s="68" t="s">
        <v>680</v>
      </c>
      <c r="F95" s="68" t="s">
        <v>2323</v>
      </c>
      <c r="G95" s="68" t="s">
        <v>1967</v>
      </c>
      <c r="H95" s="96" t="str">
        <f>VLOOKUP(G95,บัญชีโอน!$B:$D,3,FALSE)</f>
        <v>Kbank</v>
      </c>
      <c r="I95" s="66"/>
      <c r="J95" s="66">
        <v>83701</v>
      </c>
      <c r="K95" s="66">
        <f t="shared" si="7"/>
        <v>4776833.9399999976</v>
      </c>
      <c r="L95" s="126"/>
      <c r="M95" s="30"/>
      <c r="N95" s="26"/>
      <c r="O95" s="26"/>
      <c r="P95" s="26"/>
      <c r="Q95" s="30"/>
      <c r="AH95" s="106" t="s">
        <v>605</v>
      </c>
      <c r="AI95" s="105">
        <v>121795</v>
      </c>
    </row>
    <row r="96" spans="1:35" x14ac:dyDescent="0.55000000000000004">
      <c r="A96" s="125" t="s">
        <v>2361</v>
      </c>
      <c r="B96" s="63"/>
      <c r="C96" s="70">
        <v>46161</v>
      </c>
      <c r="D96" s="69"/>
      <c r="E96" s="68" t="s">
        <v>2125</v>
      </c>
      <c r="F96" s="68" t="s">
        <v>2362</v>
      </c>
      <c r="G96" s="68" t="s">
        <v>1393</v>
      </c>
      <c r="H96" s="96" t="str">
        <f>VLOOKUP(G96,บัญชีโอน!$B:$D,3,FALSE)</f>
        <v>BBL</v>
      </c>
      <c r="I96" s="66"/>
      <c r="J96" s="66">
        <v>13740</v>
      </c>
      <c r="K96" s="66">
        <f t="shared" si="7"/>
        <v>4763093.9399999976</v>
      </c>
      <c r="L96" s="126"/>
      <c r="M96" s="30"/>
      <c r="N96" s="26"/>
      <c r="O96" s="26"/>
      <c r="P96" s="26"/>
      <c r="Q96" s="30"/>
      <c r="AH96" s="106" t="s">
        <v>610</v>
      </c>
      <c r="AI96" s="105"/>
    </row>
    <row r="97" spans="1:35" x14ac:dyDescent="0.55000000000000004">
      <c r="A97" s="125" t="s">
        <v>2363</v>
      </c>
      <c r="B97" s="63"/>
      <c r="C97" s="70">
        <v>46161</v>
      </c>
      <c r="D97" s="69"/>
      <c r="E97" s="68" t="s">
        <v>2126</v>
      </c>
      <c r="F97" s="68" t="s">
        <v>2364</v>
      </c>
      <c r="G97" s="68" t="s">
        <v>1228</v>
      </c>
      <c r="H97" s="96" t="str">
        <f>VLOOKUP(G97,บัญชีโอน!$B:$D,3,FALSE)</f>
        <v>BBL</v>
      </c>
      <c r="I97" s="66"/>
      <c r="J97" s="66">
        <v>72900</v>
      </c>
      <c r="K97" s="66">
        <f t="shared" si="7"/>
        <v>4690193.9399999976</v>
      </c>
      <c r="L97" s="126"/>
      <c r="M97" s="30"/>
      <c r="N97" s="26"/>
      <c r="O97" s="26"/>
      <c r="P97" s="26"/>
      <c r="Q97" s="30"/>
      <c r="AH97" s="106" t="s">
        <v>2105</v>
      </c>
      <c r="AI97" s="105">
        <v>792000</v>
      </c>
    </row>
    <row r="98" spans="1:35" x14ac:dyDescent="0.55000000000000004">
      <c r="A98" s="125" t="s">
        <v>2365</v>
      </c>
      <c r="B98" s="63"/>
      <c r="C98" s="70">
        <v>46161</v>
      </c>
      <c r="D98" s="69"/>
      <c r="E98" s="68" t="s">
        <v>680</v>
      </c>
      <c r="F98" s="68" t="s">
        <v>2366</v>
      </c>
      <c r="G98" s="68" t="s">
        <v>1365</v>
      </c>
      <c r="H98" s="96" t="str">
        <f>VLOOKUP(G98,บัญชีโอน!$B:$D,3,FALSE)</f>
        <v>Kbank</v>
      </c>
      <c r="I98" s="66"/>
      <c r="J98" s="66">
        <v>5778</v>
      </c>
      <c r="K98" s="66">
        <f t="shared" si="7"/>
        <v>4684415.9399999976</v>
      </c>
      <c r="L98" s="126"/>
      <c r="M98" s="30"/>
      <c r="N98" s="26"/>
      <c r="O98" s="26"/>
      <c r="P98" s="26"/>
      <c r="Q98" s="30"/>
      <c r="AH98" s="106" t="s">
        <v>2104</v>
      </c>
      <c r="AI98" s="105"/>
    </row>
    <row r="99" spans="1:35" x14ac:dyDescent="0.55000000000000004">
      <c r="A99" s="125" t="s">
        <v>2367</v>
      </c>
      <c r="B99" s="63"/>
      <c r="C99" s="70">
        <v>46161</v>
      </c>
      <c r="D99" s="69"/>
      <c r="E99" s="68" t="s">
        <v>1654</v>
      </c>
      <c r="F99" s="68" t="s">
        <v>2273</v>
      </c>
      <c r="G99" s="68" t="s">
        <v>1651</v>
      </c>
      <c r="H99" s="96" t="str">
        <f>VLOOKUP(G99,บัญชีโอน!$B:$D,3,FALSE)</f>
        <v>Kbank</v>
      </c>
      <c r="I99" s="66"/>
      <c r="J99" s="66">
        <v>400000</v>
      </c>
      <c r="K99" s="66">
        <f t="shared" si="7"/>
        <v>4284415.9399999976</v>
      </c>
      <c r="L99" s="126"/>
      <c r="M99" s="30"/>
      <c r="N99" s="26"/>
      <c r="O99" s="26"/>
      <c r="P99" s="26"/>
      <c r="Q99" s="30"/>
      <c r="AH99" s="106" t="s">
        <v>639</v>
      </c>
      <c r="AI99" s="105"/>
    </row>
    <row r="100" spans="1:35" x14ac:dyDescent="0.55000000000000004">
      <c r="A100" s="125" t="s">
        <v>2368</v>
      </c>
      <c r="B100" s="63"/>
      <c r="C100" s="113">
        <v>46161</v>
      </c>
      <c r="D100" s="61"/>
      <c r="E100" s="68" t="s">
        <v>134</v>
      </c>
      <c r="F100" s="93" t="s">
        <v>2369</v>
      </c>
      <c r="G100" s="128" t="s">
        <v>688</v>
      </c>
      <c r="H100" s="96" t="str">
        <f>VLOOKUP(G100,บัญชีโอน!$B:$D,3,FALSE)</f>
        <v>Kbank</v>
      </c>
      <c r="I100" s="59"/>
      <c r="J100" s="59">
        <v>110590</v>
      </c>
      <c r="K100" s="66">
        <f t="shared" si="7"/>
        <v>4173825.9399999976</v>
      </c>
      <c r="L100" s="126"/>
      <c r="M100" s="58">
        <f>C88</f>
        <v>46161</v>
      </c>
      <c r="N100" s="57" t="s">
        <v>2092</v>
      </c>
      <c r="O100" s="57" t="s">
        <v>2091</v>
      </c>
      <c r="P100" s="57" t="s">
        <v>2090</v>
      </c>
      <c r="Q100" s="30">
        <v>12</v>
      </c>
      <c r="AH100" s="106" t="s">
        <v>650</v>
      </c>
      <c r="AI100" s="105">
        <v>60000</v>
      </c>
    </row>
    <row r="101" spans="1:35" ht="24.75" thickBot="1" x14ac:dyDescent="0.6">
      <c r="A101" s="134" t="s">
        <v>2370</v>
      </c>
      <c r="B101" s="45"/>
      <c r="C101" s="112">
        <v>46161</v>
      </c>
      <c r="D101" s="53"/>
      <c r="E101" s="52" t="s">
        <v>134</v>
      </c>
      <c r="F101" s="123" t="s">
        <v>2371</v>
      </c>
      <c r="G101" s="123" t="s">
        <v>1198</v>
      </c>
      <c r="H101" s="94" t="str">
        <f>VLOOKUP(G101,บัญชีโอน!$B:$D,3,FALSE)</f>
        <v>Kbank</v>
      </c>
      <c r="I101" s="50"/>
      <c r="J101" s="50">
        <v>12032</v>
      </c>
      <c r="K101" s="49">
        <f t="shared" si="7"/>
        <v>4161793.9399999976</v>
      </c>
      <c r="L101" s="126"/>
      <c r="M101" s="48" t="s">
        <v>2089</v>
      </c>
      <c r="N101" s="47">
        <f>SUM(I88:I101)</f>
        <v>0</v>
      </c>
      <c r="O101" s="47">
        <f>SUM(J88:J101)</f>
        <v>1576596.66</v>
      </c>
      <c r="P101" s="47">
        <f>2000000-O101</f>
        <v>423403.34000000008</v>
      </c>
      <c r="Q101" s="30"/>
      <c r="AH101" s="106" t="s">
        <v>2103</v>
      </c>
      <c r="AI101" s="105"/>
    </row>
    <row r="102" spans="1:35" ht="24.75" thickTop="1" x14ac:dyDescent="0.55000000000000004">
      <c r="A102" s="125" t="s">
        <v>2372</v>
      </c>
      <c r="B102" s="55"/>
      <c r="C102" s="113">
        <v>46162</v>
      </c>
      <c r="D102" s="61"/>
      <c r="E102" s="68" t="s">
        <v>2192</v>
      </c>
      <c r="F102" s="128" t="s">
        <v>2373</v>
      </c>
      <c r="G102" s="128" t="s">
        <v>1429</v>
      </c>
      <c r="H102" s="92" t="str">
        <f>VLOOKUP(G102,บัญชีโอน!$B:$D,3,FALSE)</f>
        <v>Kbank</v>
      </c>
      <c r="I102" s="59"/>
      <c r="J102" s="59">
        <v>133900</v>
      </c>
      <c r="K102" s="66">
        <f>K101+I102-J102</f>
        <v>4027893.9399999976</v>
      </c>
      <c r="L102" s="126"/>
      <c r="M102" s="58">
        <f>C102</f>
        <v>46162</v>
      </c>
      <c r="N102" s="57" t="s">
        <v>2092</v>
      </c>
      <c r="O102" s="57" t="s">
        <v>2091</v>
      </c>
      <c r="P102" s="57" t="s">
        <v>2090</v>
      </c>
      <c r="Q102" s="30">
        <v>13</v>
      </c>
      <c r="AH102" s="106" t="s">
        <v>677</v>
      </c>
      <c r="AI102" s="105">
        <v>52500</v>
      </c>
    </row>
    <row r="103" spans="1:35" ht="24.75" thickBot="1" x14ac:dyDescent="0.6">
      <c r="A103" s="144" t="s">
        <v>2374</v>
      </c>
      <c r="B103" s="98"/>
      <c r="C103" s="143">
        <v>46162</v>
      </c>
      <c r="D103" s="142"/>
      <c r="E103" s="141" t="s">
        <v>2068</v>
      </c>
      <c r="F103" s="140" t="s">
        <v>2375</v>
      </c>
      <c r="G103" s="140" t="s">
        <v>2068</v>
      </c>
      <c r="H103" s="94" t="str">
        <f>VLOOKUP(G103,บัญชีโอน!$B:$D,3,FALSE)</f>
        <v>Kbank</v>
      </c>
      <c r="I103" s="139"/>
      <c r="J103" s="139">
        <v>8500</v>
      </c>
      <c r="K103" s="49">
        <f t="shared" ref="K103:K166" si="8">K102+I103-J103</f>
        <v>4019393.9399999976</v>
      </c>
      <c r="L103" s="126"/>
      <c r="M103" s="48" t="s">
        <v>2089</v>
      </c>
      <c r="N103" s="47">
        <f>SUM(I102:I103)</f>
        <v>0</v>
      </c>
      <c r="O103" s="47">
        <f>SUM(J102:J103)</f>
        <v>142400</v>
      </c>
      <c r="P103" s="47">
        <f>2000000-O103</f>
        <v>1857600</v>
      </c>
      <c r="Q103" s="30"/>
      <c r="AH103" s="106" t="s">
        <v>712</v>
      </c>
      <c r="AI103" s="105"/>
    </row>
    <row r="104" spans="1:35" ht="24.75" thickTop="1" x14ac:dyDescent="0.55000000000000004">
      <c r="A104" s="129" t="s">
        <v>2376</v>
      </c>
      <c r="B104" s="137"/>
      <c r="C104" s="70">
        <v>46163</v>
      </c>
      <c r="D104" s="69"/>
      <c r="E104" s="77" t="s">
        <v>134</v>
      </c>
      <c r="F104" s="77" t="s">
        <v>2377</v>
      </c>
      <c r="G104" s="77" t="s">
        <v>1734</v>
      </c>
      <c r="H104" s="138" t="str">
        <f>VLOOKUP(G104,บัญชีโอน!$B:$D,3,FALSE)</f>
        <v>BBL</v>
      </c>
      <c r="I104" s="75"/>
      <c r="J104" s="75">
        <v>120000</v>
      </c>
      <c r="K104" s="75">
        <f>K103+I104-J104</f>
        <v>3899393.9399999976</v>
      </c>
      <c r="L104" s="126"/>
      <c r="M104" s="48"/>
      <c r="N104" s="83"/>
      <c r="O104" s="83"/>
      <c r="P104" s="83"/>
      <c r="Q104" s="30"/>
      <c r="AH104" s="106" t="s">
        <v>718</v>
      </c>
      <c r="AI104" s="105">
        <v>206910</v>
      </c>
    </row>
    <row r="105" spans="1:35" x14ac:dyDescent="0.55000000000000004">
      <c r="A105" s="129" t="s">
        <v>2378</v>
      </c>
      <c r="B105" s="137"/>
      <c r="C105" s="70">
        <v>46163</v>
      </c>
      <c r="D105" s="69"/>
      <c r="E105" s="68" t="s">
        <v>2105</v>
      </c>
      <c r="F105" s="68" t="s">
        <v>2379</v>
      </c>
      <c r="G105" s="68" t="s">
        <v>828</v>
      </c>
      <c r="H105" s="92" t="str">
        <f>VLOOKUP(G105,บัญชีโอน!$B:$D,3,FALSE)</f>
        <v>Kbank</v>
      </c>
      <c r="I105" s="66"/>
      <c r="J105" s="66">
        <v>792000</v>
      </c>
      <c r="K105" s="66">
        <f t="shared" ref="K105:K111" si="9">K104+I105-J105</f>
        <v>3107393.9399999976</v>
      </c>
      <c r="L105" s="126"/>
      <c r="M105" s="48"/>
      <c r="N105" s="81"/>
      <c r="O105" s="81"/>
      <c r="P105" s="81"/>
      <c r="Q105" s="30"/>
      <c r="AH105" s="106" t="s">
        <v>2102</v>
      </c>
      <c r="AI105" s="105"/>
    </row>
    <row r="106" spans="1:35" x14ac:dyDescent="0.55000000000000004">
      <c r="A106" s="129" t="s">
        <v>2380</v>
      </c>
      <c r="B106" s="137"/>
      <c r="C106" s="70">
        <v>46163</v>
      </c>
      <c r="D106" s="69"/>
      <c r="E106" s="68" t="s">
        <v>650</v>
      </c>
      <c r="F106" s="68" t="s">
        <v>2381</v>
      </c>
      <c r="G106" s="68" t="s">
        <v>650</v>
      </c>
      <c r="H106" s="92" t="str">
        <f>VLOOKUP(G106,บัญชีโอน!$B:$D,3,FALSE)</f>
        <v>BBL</v>
      </c>
      <c r="I106" s="66"/>
      <c r="J106" s="66">
        <v>60000</v>
      </c>
      <c r="K106" s="66">
        <f t="shared" si="9"/>
        <v>3047393.9399999976</v>
      </c>
      <c r="L106" s="126"/>
      <c r="M106" s="48"/>
      <c r="N106" s="81"/>
      <c r="O106" s="81"/>
      <c r="P106" s="81"/>
      <c r="Q106" s="30"/>
      <c r="AH106" s="106" t="s">
        <v>740</v>
      </c>
      <c r="AI106" s="105">
        <v>17920</v>
      </c>
    </row>
    <row r="107" spans="1:35" x14ac:dyDescent="0.55000000000000004">
      <c r="A107" s="129" t="s">
        <v>2382</v>
      </c>
      <c r="B107" s="137"/>
      <c r="C107" s="70">
        <v>46163</v>
      </c>
      <c r="D107" s="69"/>
      <c r="E107" s="68" t="s">
        <v>2126</v>
      </c>
      <c r="F107" s="68" t="s">
        <v>2383</v>
      </c>
      <c r="G107" s="68" t="s">
        <v>1352</v>
      </c>
      <c r="H107" s="92" t="str">
        <f>VLOOKUP(G107,บัญชีโอน!$B:$D,3,FALSE)</f>
        <v>BBL</v>
      </c>
      <c r="I107" s="66"/>
      <c r="J107" s="66">
        <v>33000</v>
      </c>
      <c r="K107" s="66">
        <f t="shared" si="9"/>
        <v>3014393.9399999976</v>
      </c>
      <c r="L107" s="126"/>
      <c r="M107" s="48"/>
      <c r="N107" s="81"/>
      <c r="O107" s="81"/>
      <c r="P107" s="81"/>
      <c r="Q107" s="30"/>
      <c r="AH107" s="106" t="s">
        <v>749</v>
      </c>
      <c r="AI107" s="105">
        <v>37620</v>
      </c>
    </row>
    <row r="108" spans="1:35" x14ac:dyDescent="0.55000000000000004">
      <c r="A108" s="129" t="s">
        <v>2384</v>
      </c>
      <c r="B108" s="137"/>
      <c r="C108" s="70">
        <v>46163</v>
      </c>
      <c r="D108" s="69"/>
      <c r="E108" s="68" t="s">
        <v>2126</v>
      </c>
      <c r="F108" s="68" t="s">
        <v>2385</v>
      </c>
      <c r="G108" s="68" t="s">
        <v>486</v>
      </c>
      <c r="H108" s="92" t="str">
        <f>VLOOKUP(G108,บัญชีโอน!$B:$D,3,FALSE)</f>
        <v>BBL</v>
      </c>
      <c r="I108" s="66"/>
      <c r="J108" s="66">
        <v>13500</v>
      </c>
      <c r="K108" s="66">
        <f t="shared" si="9"/>
        <v>3000893.9399999976</v>
      </c>
      <c r="L108" s="126"/>
      <c r="M108" s="48"/>
      <c r="N108" s="81"/>
      <c r="O108" s="81"/>
      <c r="P108" s="81"/>
      <c r="Q108" s="30"/>
      <c r="AH108" s="106" t="s">
        <v>756</v>
      </c>
      <c r="AI108" s="105">
        <v>37620</v>
      </c>
    </row>
    <row r="109" spans="1:35" x14ac:dyDescent="0.55000000000000004">
      <c r="A109" s="129" t="s">
        <v>2386</v>
      </c>
      <c r="B109" s="137"/>
      <c r="C109" s="70">
        <v>46163</v>
      </c>
      <c r="D109" s="69"/>
      <c r="E109" s="68" t="s">
        <v>2126</v>
      </c>
      <c r="F109" s="68" t="s">
        <v>2387</v>
      </c>
      <c r="G109" s="68" t="s">
        <v>1472</v>
      </c>
      <c r="H109" s="92" t="str">
        <f>VLOOKUP(G109,บัญชีโอน!$B:$D,3,FALSE)</f>
        <v>BBL</v>
      </c>
      <c r="I109" s="66"/>
      <c r="J109" s="66">
        <v>7600</v>
      </c>
      <c r="K109" s="66">
        <f t="shared" si="9"/>
        <v>2993293.9399999976</v>
      </c>
      <c r="L109" s="126"/>
      <c r="M109" s="48"/>
      <c r="N109" s="81"/>
      <c r="O109" s="81"/>
      <c r="P109" s="81"/>
      <c r="Q109" s="30"/>
      <c r="AH109" s="106" t="s">
        <v>807</v>
      </c>
      <c r="AI109" s="105"/>
    </row>
    <row r="110" spans="1:35" x14ac:dyDescent="0.55000000000000004">
      <c r="A110" s="129" t="s">
        <v>2388</v>
      </c>
      <c r="B110" s="137"/>
      <c r="C110" s="70">
        <v>46163</v>
      </c>
      <c r="D110" s="69"/>
      <c r="E110" s="68" t="s">
        <v>2126</v>
      </c>
      <c r="F110" s="68" t="s">
        <v>2389</v>
      </c>
      <c r="G110" s="68" t="s">
        <v>466</v>
      </c>
      <c r="H110" s="92" t="str">
        <f>VLOOKUP(G110,บัญชีโอน!$B:$D,3,FALSE)</f>
        <v>กรุงศรี</v>
      </c>
      <c r="I110" s="66"/>
      <c r="J110" s="66">
        <v>648000</v>
      </c>
      <c r="K110" s="66">
        <f t="shared" si="9"/>
        <v>2345293.9399999976</v>
      </c>
      <c r="L110" s="126"/>
      <c r="M110" s="48"/>
      <c r="N110" s="81"/>
      <c r="O110" s="81"/>
      <c r="P110" s="81"/>
      <c r="Q110" s="30"/>
      <c r="AH110" s="106" t="s">
        <v>872</v>
      </c>
      <c r="AI110" s="105">
        <v>14700</v>
      </c>
    </row>
    <row r="111" spans="1:35" x14ac:dyDescent="0.55000000000000004">
      <c r="A111" s="129" t="s">
        <v>2390</v>
      </c>
      <c r="B111" s="137"/>
      <c r="C111" s="70">
        <v>46163</v>
      </c>
      <c r="D111" s="69"/>
      <c r="E111" s="68" t="s">
        <v>2123</v>
      </c>
      <c r="F111" s="93" t="s">
        <v>2391</v>
      </c>
      <c r="G111" s="136" t="s">
        <v>578</v>
      </c>
      <c r="H111" s="92" t="str">
        <f>VLOOKUP(G111,บัญชีโอน!$B:$D,3,FALSE)</f>
        <v>Kbank</v>
      </c>
      <c r="I111" s="135"/>
      <c r="J111" s="135">
        <v>15000</v>
      </c>
      <c r="K111" s="127">
        <f t="shared" si="9"/>
        <v>2330293.9399999976</v>
      </c>
      <c r="L111" s="126"/>
      <c r="M111" s="58">
        <f>C104</f>
        <v>46163</v>
      </c>
      <c r="N111" s="57" t="s">
        <v>2092</v>
      </c>
      <c r="O111" s="57" t="s">
        <v>2091</v>
      </c>
      <c r="P111" s="57" t="s">
        <v>2090</v>
      </c>
      <c r="Q111" s="30">
        <v>14</v>
      </c>
      <c r="AH111" s="106" t="s">
        <v>1082</v>
      </c>
      <c r="AI111" s="105"/>
    </row>
    <row r="112" spans="1:35" ht="24.75" thickBot="1" x14ac:dyDescent="0.6">
      <c r="A112" s="134" t="s">
        <v>2392</v>
      </c>
      <c r="B112" s="133"/>
      <c r="C112" s="54">
        <v>46163</v>
      </c>
      <c r="D112" s="53"/>
      <c r="E112" s="52" t="s">
        <v>116</v>
      </c>
      <c r="F112" s="123" t="s">
        <v>2393</v>
      </c>
      <c r="G112" s="123" t="s">
        <v>173</v>
      </c>
      <c r="H112" s="94" t="b">
        <f>VLOOKUP(G112,บัญชีโอน!$B:$D,3,FALSE)</f>
        <v>1</v>
      </c>
      <c r="I112" s="132"/>
      <c r="J112" s="132">
        <v>854.93</v>
      </c>
      <c r="K112" s="49">
        <f t="shared" si="8"/>
        <v>2329439.0099999974</v>
      </c>
      <c r="L112" s="126"/>
      <c r="M112" s="48" t="s">
        <v>2089</v>
      </c>
      <c r="N112" s="47">
        <f>SUM(I104:I112)</f>
        <v>0</v>
      </c>
      <c r="O112" s="47">
        <f>SUM(J104:J112)</f>
        <v>1689954.93</v>
      </c>
      <c r="P112" s="47">
        <f>2000000-O112</f>
        <v>310045.07000000007</v>
      </c>
      <c r="Q112" s="30"/>
      <c r="AH112" s="106" t="s">
        <v>1174</v>
      </c>
      <c r="AI112" s="105"/>
    </row>
    <row r="113" spans="1:35" ht="24.75" thickTop="1" x14ac:dyDescent="0.55000000000000004">
      <c r="A113" s="125" t="s">
        <v>2394</v>
      </c>
      <c r="B113" s="45"/>
      <c r="C113" s="113">
        <v>46164</v>
      </c>
      <c r="D113" s="61"/>
      <c r="E113" s="68" t="s">
        <v>2395</v>
      </c>
      <c r="F113" s="60" t="s">
        <v>2396</v>
      </c>
      <c r="G113" s="60"/>
      <c r="H113" s="92" t="e">
        <f>VLOOKUP(G113,[1]บัญชีโอน!$B$1:$E$657,3,TRUE)</f>
        <v>#N/A</v>
      </c>
      <c r="I113" s="59">
        <v>2000</v>
      </c>
      <c r="J113" s="59"/>
      <c r="K113" s="66">
        <f>K112+I113-J113</f>
        <v>2331439.0099999974</v>
      </c>
      <c r="L113" s="65"/>
      <c r="M113" s="58">
        <f>C113</f>
        <v>46164</v>
      </c>
      <c r="N113" s="57" t="s">
        <v>2092</v>
      </c>
      <c r="O113" s="57" t="s">
        <v>2091</v>
      </c>
      <c r="P113" s="57" t="s">
        <v>2090</v>
      </c>
      <c r="Q113" s="30">
        <v>15</v>
      </c>
      <c r="AH113" s="106" t="s">
        <v>1349</v>
      </c>
      <c r="AI113" s="105">
        <v>390300</v>
      </c>
    </row>
    <row r="114" spans="1:35" ht="24.75" thickBot="1" x14ac:dyDescent="0.6">
      <c r="A114" s="56" t="s">
        <v>2397</v>
      </c>
      <c r="B114" s="63"/>
      <c r="C114" s="112">
        <v>46164</v>
      </c>
      <c r="D114" s="53"/>
      <c r="E114" s="52" t="s">
        <v>2215</v>
      </c>
      <c r="F114" s="52" t="s">
        <v>2398</v>
      </c>
      <c r="G114" s="52" t="s">
        <v>1327</v>
      </c>
      <c r="H114" s="94" t="str">
        <f>VLOOKUP(G114,บัญชีโอน!$B:$D,3,FALSE)</f>
        <v>Kbank</v>
      </c>
      <c r="I114" s="50"/>
      <c r="J114" s="50">
        <v>2675</v>
      </c>
      <c r="K114" s="49">
        <f t="shared" si="8"/>
        <v>2328764.0099999974</v>
      </c>
      <c r="L114" s="124"/>
      <c r="M114" s="48" t="s">
        <v>2089</v>
      </c>
      <c r="N114" s="47">
        <f>SUM(I113:I114)</f>
        <v>2000</v>
      </c>
      <c r="O114" s="47">
        <f>SUM(J113:J114)</f>
        <v>2675</v>
      </c>
      <c r="P114" s="47">
        <f>2000000-O114</f>
        <v>1997325</v>
      </c>
      <c r="Q114" s="30"/>
      <c r="AH114" s="106" t="s">
        <v>1514</v>
      </c>
      <c r="AI114" s="105">
        <v>7200</v>
      </c>
    </row>
    <row r="115" spans="1:35" ht="24.75" thickTop="1" x14ac:dyDescent="0.55000000000000004">
      <c r="A115" s="64" t="s">
        <v>2399</v>
      </c>
      <c r="B115" s="63"/>
      <c r="C115" s="113">
        <v>46167</v>
      </c>
      <c r="D115" s="69"/>
      <c r="E115" s="68" t="s">
        <v>2400</v>
      </c>
      <c r="F115" s="93" t="s">
        <v>2401</v>
      </c>
      <c r="G115" s="93"/>
      <c r="H115" s="92" t="e">
        <f>VLOOKUP(G115,[1]บัญชีโอน!$B$1:$E$657,3,TRUE)</f>
        <v>#N/A</v>
      </c>
      <c r="I115" s="66">
        <v>84583</v>
      </c>
      <c r="J115" s="66"/>
      <c r="K115" s="66">
        <f t="shared" si="8"/>
        <v>2413347.0099999974</v>
      </c>
      <c r="L115" s="124"/>
      <c r="M115" s="48"/>
      <c r="N115" s="81"/>
      <c r="O115" s="81"/>
      <c r="P115" s="81"/>
      <c r="Q115" s="30"/>
      <c r="AH115" s="106" t="s">
        <v>1556</v>
      </c>
      <c r="AI115" s="105">
        <v>41370</v>
      </c>
    </row>
    <row r="116" spans="1:35" x14ac:dyDescent="0.55000000000000004">
      <c r="A116" s="64" t="s">
        <v>2402</v>
      </c>
      <c r="B116" s="88"/>
      <c r="C116" s="113">
        <v>46167</v>
      </c>
      <c r="D116" s="69"/>
      <c r="E116" s="68" t="s">
        <v>2125</v>
      </c>
      <c r="F116" s="93" t="s">
        <v>2403</v>
      </c>
      <c r="G116" s="93" t="s">
        <v>1062</v>
      </c>
      <c r="H116" s="92" t="str">
        <f>VLOOKUP(G116,[1]บัญชีโอน!$B$1:$E$657,3,TRUE)</f>
        <v>BAY</v>
      </c>
      <c r="I116" s="66"/>
      <c r="J116" s="66">
        <v>50000</v>
      </c>
      <c r="K116" s="66">
        <f t="shared" si="8"/>
        <v>2363347.0099999974</v>
      </c>
      <c r="L116" s="124"/>
      <c r="M116" s="48"/>
      <c r="N116" s="81"/>
      <c r="O116" s="81"/>
      <c r="P116" s="81"/>
      <c r="Q116" s="30"/>
      <c r="AH116" s="106" t="s">
        <v>2101</v>
      </c>
      <c r="AI116" s="105"/>
    </row>
    <row r="117" spans="1:35" x14ac:dyDescent="0.55000000000000004">
      <c r="A117" s="64"/>
      <c r="B117" s="88"/>
      <c r="C117" s="113">
        <v>46167</v>
      </c>
      <c r="D117" s="69"/>
      <c r="E117" s="68" t="s">
        <v>422</v>
      </c>
      <c r="F117" s="93" t="s">
        <v>2403</v>
      </c>
      <c r="G117" s="93" t="s">
        <v>1062</v>
      </c>
      <c r="H117" s="92" t="str">
        <f>VLOOKUP(G117,[1]บัญชีโอน!$B$1:$E$657,3,TRUE)</f>
        <v>BAY</v>
      </c>
      <c r="I117" s="66"/>
      <c r="J117" s="66">
        <v>50000</v>
      </c>
      <c r="K117" s="66">
        <f t="shared" si="8"/>
        <v>2313347.0099999974</v>
      </c>
      <c r="L117" s="124"/>
      <c r="M117" s="48"/>
      <c r="N117" s="81"/>
      <c r="O117" s="81"/>
      <c r="P117" s="81"/>
      <c r="Q117" s="30"/>
      <c r="AH117" s="106" t="s">
        <v>1568</v>
      </c>
      <c r="AI117" s="105">
        <v>21721</v>
      </c>
    </row>
    <row r="118" spans="1:35" x14ac:dyDescent="0.55000000000000004">
      <c r="A118" s="64" t="s">
        <v>2404</v>
      </c>
      <c r="B118" s="88"/>
      <c r="C118" s="113">
        <v>46167</v>
      </c>
      <c r="D118" s="69"/>
      <c r="E118" s="68" t="s">
        <v>2125</v>
      </c>
      <c r="F118" s="93" t="s">
        <v>2405</v>
      </c>
      <c r="G118" s="93" t="s">
        <v>812</v>
      </c>
      <c r="H118" s="92" t="str">
        <f>VLOOKUP(G118,[1]บัญชีโอน!$B$1:$E$657,3,TRUE)</f>
        <v>SCB</v>
      </c>
      <c r="I118" s="66"/>
      <c r="J118" s="66">
        <v>5468</v>
      </c>
      <c r="K118" s="66">
        <f t="shared" si="8"/>
        <v>2307879.0099999974</v>
      </c>
      <c r="L118" s="124"/>
      <c r="M118" s="48"/>
      <c r="N118" s="81"/>
      <c r="O118" s="81"/>
      <c r="P118" s="81"/>
      <c r="Q118" s="30"/>
      <c r="AH118" s="106" t="s">
        <v>1577</v>
      </c>
      <c r="AI118" s="105"/>
    </row>
    <row r="119" spans="1:35" x14ac:dyDescent="0.55000000000000004">
      <c r="A119" s="64"/>
      <c r="B119" s="88"/>
      <c r="C119" s="113">
        <v>46167</v>
      </c>
      <c r="D119" s="69"/>
      <c r="E119" s="68" t="s">
        <v>2215</v>
      </c>
      <c r="F119" s="93" t="s">
        <v>2406</v>
      </c>
      <c r="G119" s="93" t="s">
        <v>812</v>
      </c>
      <c r="H119" s="92" t="str">
        <f>VLOOKUP(G119,[1]บัญชีโอน!$B$1:$E$657,3,TRUE)</f>
        <v>SCB</v>
      </c>
      <c r="I119" s="66"/>
      <c r="J119" s="66">
        <v>7427</v>
      </c>
      <c r="K119" s="66">
        <f t="shared" si="8"/>
        <v>2300452.0099999974</v>
      </c>
      <c r="L119" s="124"/>
      <c r="M119" s="48"/>
      <c r="N119" s="81"/>
      <c r="O119" s="81"/>
      <c r="P119" s="81"/>
      <c r="Q119" s="30"/>
      <c r="AH119" s="106" t="s">
        <v>2100</v>
      </c>
      <c r="AI119" s="105">
        <v>18810</v>
      </c>
    </row>
    <row r="120" spans="1:35" x14ac:dyDescent="0.55000000000000004">
      <c r="A120" s="64" t="s">
        <v>2407</v>
      </c>
      <c r="B120" s="88"/>
      <c r="C120" s="113">
        <v>46167</v>
      </c>
      <c r="D120" s="69"/>
      <c r="E120" s="68" t="s">
        <v>134</v>
      </c>
      <c r="F120" s="93" t="s">
        <v>2408</v>
      </c>
      <c r="G120" s="93" t="s">
        <v>575</v>
      </c>
      <c r="H120" s="92" t="str">
        <f>VLOOKUP(G120,[1]บัญชีโอน!$B$1:$E$657,3,TRUE)</f>
        <v>TTB</v>
      </c>
      <c r="I120" s="66"/>
      <c r="J120" s="66">
        <v>149950</v>
      </c>
      <c r="K120" s="66">
        <f t="shared" si="8"/>
        <v>2150502.0099999974</v>
      </c>
      <c r="L120" s="124"/>
      <c r="M120" s="48"/>
      <c r="N120" s="81"/>
      <c r="O120" s="81"/>
      <c r="P120" s="81"/>
      <c r="Q120" s="30"/>
      <c r="AH120" s="106" t="s">
        <v>1583</v>
      </c>
      <c r="AI120" s="105"/>
    </row>
    <row r="121" spans="1:35" x14ac:dyDescent="0.55000000000000004">
      <c r="A121" s="64" t="s">
        <v>2409</v>
      </c>
      <c r="B121" s="98"/>
      <c r="C121" s="113">
        <v>46167</v>
      </c>
      <c r="D121" s="69"/>
      <c r="E121" s="68" t="s">
        <v>68</v>
      </c>
      <c r="F121" s="93" t="s">
        <v>2410</v>
      </c>
      <c r="G121" s="68" t="s">
        <v>1631</v>
      </c>
      <c r="H121" s="92" t="str">
        <f>VLOOKUP(G121,บัญชีโอน!$B:$D,3,FALSE)</f>
        <v>BBL</v>
      </c>
      <c r="I121" s="66"/>
      <c r="J121" s="66">
        <v>20000</v>
      </c>
      <c r="K121" s="66">
        <f>K120+I121-J121</f>
        <v>2130502.0099999974</v>
      </c>
      <c r="L121" s="65"/>
      <c r="M121" s="58">
        <f>C121</f>
        <v>46167</v>
      </c>
      <c r="N121" s="57" t="s">
        <v>2092</v>
      </c>
      <c r="O121" s="57" t="s">
        <v>2091</v>
      </c>
      <c r="P121" s="57" t="s">
        <v>2090</v>
      </c>
      <c r="Q121" s="30">
        <v>16</v>
      </c>
      <c r="AH121" s="106" t="s">
        <v>1588</v>
      </c>
      <c r="AI121" s="105"/>
    </row>
    <row r="122" spans="1:35" ht="24.75" thickBot="1" x14ac:dyDescent="0.6">
      <c r="A122" s="56" t="s">
        <v>2411</v>
      </c>
      <c r="B122" s="82"/>
      <c r="C122" s="112">
        <v>46167</v>
      </c>
      <c r="D122" s="53"/>
      <c r="E122" s="52" t="s">
        <v>68</v>
      </c>
      <c r="F122" s="52" t="s">
        <v>2412</v>
      </c>
      <c r="G122" s="123" t="s">
        <v>1606</v>
      </c>
      <c r="H122" s="94" t="str">
        <f>VLOOKUP(G122,บัญชีโอน!$B:$D,3,FALSE)</f>
        <v>BBL</v>
      </c>
      <c r="I122" s="50"/>
      <c r="J122" s="50">
        <v>15000</v>
      </c>
      <c r="K122" s="49">
        <f t="shared" si="8"/>
        <v>2115502.0099999974</v>
      </c>
      <c r="L122" s="65"/>
      <c r="M122" s="48" t="s">
        <v>2089</v>
      </c>
      <c r="N122" s="47">
        <f>SUM(I115:I122)</f>
        <v>84583</v>
      </c>
      <c r="O122" s="47">
        <f>SUM(J115:J122)</f>
        <v>297845</v>
      </c>
      <c r="P122" s="47">
        <f>2000000-O122</f>
        <v>1702155</v>
      </c>
      <c r="Q122" s="30"/>
      <c r="AH122" s="106" t="s">
        <v>1598</v>
      </c>
      <c r="AI122" s="105">
        <v>18810</v>
      </c>
    </row>
    <row r="123" spans="1:35" ht="24.75" thickTop="1" x14ac:dyDescent="0.55000000000000004">
      <c r="A123" s="80" t="s">
        <v>2413</v>
      </c>
      <c r="B123" s="73"/>
      <c r="C123" s="87">
        <v>46169</v>
      </c>
      <c r="D123" s="78"/>
      <c r="E123" s="77" t="s">
        <v>134</v>
      </c>
      <c r="F123" s="77" t="s">
        <v>2414</v>
      </c>
      <c r="G123" s="77" t="s">
        <v>1415</v>
      </c>
      <c r="H123" s="96" t="str">
        <f>VLOOKUP(G123,บัญชีโอน!$B:$D,3,FALSE)</f>
        <v>SCB</v>
      </c>
      <c r="I123" s="75"/>
      <c r="J123" s="107">
        <v>15000</v>
      </c>
      <c r="K123" s="107">
        <f t="shared" si="8"/>
        <v>2100502.0099999974</v>
      </c>
      <c r="L123" s="65"/>
      <c r="M123" s="48"/>
      <c r="N123" s="83"/>
      <c r="O123" s="83"/>
      <c r="P123" s="83"/>
      <c r="Q123" s="30"/>
      <c r="AH123" s="106" t="s">
        <v>2099</v>
      </c>
      <c r="AI123" s="105"/>
    </row>
    <row r="124" spans="1:35" x14ac:dyDescent="0.55000000000000004">
      <c r="A124" s="122" t="s">
        <v>2415</v>
      </c>
      <c r="B124" s="91"/>
      <c r="C124" s="121">
        <v>46169</v>
      </c>
      <c r="D124" s="109"/>
      <c r="E124" s="108" t="s">
        <v>575</v>
      </c>
      <c r="F124" s="108" t="s">
        <v>2416</v>
      </c>
      <c r="G124" s="100" t="s">
        <v>575</v>
      </c>
      <c r="H124" s="120" t="str">
        <f>VLOOKUP(G124,บัญชีโอน!$B:$D,3,FALSE)</f>
        <v>TTB</v>
      </c>
      <c r="I124" s="99"/>
      <c r="J124" s="107">
        <v>134579</v>
      </c>
      <c r="K124" s="107">
        <f t="shared" si="8"/>
        <v>1965923.0099999974</v>
      </c>
      <c r="L124" s="65"/>
      <c r="M124" s="48"/>
      <c r="N124" s="81"/>
      <c r="O124" s="81"/>
      <c r="P124" s="81"/>
      <c r="Q124" s="30"/>
      <c r="AH124" s="106" t="s">
        <v>1635</v>
      </c>
      <c r="AI124" s="105">
        <v>175050</v>
      </c>
    </row>
    <row r="125" spans="1:35" x14ac:dyDescent="0.55000000000000004">
      <c r="A125" s="72"/>
      <c r="B125" s="55"/>
      <c r="C125" s="118"/>
      <c r="D125" s="61"/>
      <c r="E125" s="60"/>
      <c r="F125" s="60" t="s">
        <v>2417</v>
      </c>
      <c r="G125" s="60"/>
      <c r="H125" s="92"/>
      <c r="I125" s="59"/>
      <c r="J125" s="59"/>
      <c r="K125" s="107">
        <f t="shared" si="8"/>
        <v>1965923.0099999974</v>
      </c>
      <c r="L125" s="65"/>
      <c r="M125" s="48"/>
      <c r="N125" s="81"/>
      <c r="O125" s="81"/>
      <c r="P125" s="81"/>
      <c r="Q125" s="30"/>
      <c r="AH125" s="106" t="s">
        <v>1686</v>
      </c>
      <c r="AI125" s="105"/>
    </row>
    <row r="126" spans="1:35" x14ac:dyDescent="0.55000000000000004">
      <c r="A126" s="72" t="s">
        <v>2418</v>
      </c>
      <c r="B126" s="55"/>
      <c r="C126" s="118">
        <v>46169</v>
      </c>
      <c r="D126" s="61"/>
      <c r="E126" s="60" t="s">
        <v>575</v>
      </c>
      <c r="F126" s="60" t="s">
        <v>2419</v>
      </c>
      <c r="G126" s="60" t="s">
        <v>575</v>
      </c>
      <c r="H126" s="92" t="str">
        <f>VLOOKUP(G126,บัญชีโอน!$B:$D,3,FALSE)</f>
        <v>TTB</v>
      </c>
      <c r="I126" s="59"/>
      <c r="J126" s="59">
        <v>65990</v>
      </c>
      <c r="K126" s="107">
        <f t="shared" si="8"/>
        <v>1899933.0099999974</v>
      </c>
      <c r="L126" s="65"/>
      <c r="M126" s="48"/>
      <c r="N126" s="81"/>
      <c r="O126" s="81"/>
      <c r="P126" s="81"/>
      <c r="Q126" s="30"/>
      <c r="AH126" s="106" t="s">
        <v>2098</v>
      </c>
      <c r="AI126" s="105"/>
    </row>
    <row r="127" spans="1:35" x14ac:dyDescent="0.55000000000000004">
      <c r="A127" s="102" t="s">
        <v>2420</v>
      </c>
      <c r="B127" s="88"/>
      <c r="C127" s="119">
        <v>46169</v>
      </c>
      <c r="D127" s="101"/>
      <c r="E127" s="100" t="s">
        <v>2126</v>
      </c>
      <c r="F127" s="100" t="s">
        <v>2421</v>
      </c>
      <c r="G127" s="68" t="s">
        <v>1228</v>
      </c>
      <c r="H127" s="92" t="str">
        <f>VLOOKUP(G127,บัญชีโอน!$B:$D,3,FALSE)</f>
        <v>BBL</v>
      </c>
      <c r="I127" s="66"/>
      <c r="J127" s="66">
        <v>1920</v>
      </c>
      <c r="K127" s="107">
        <f t="shared" si="8"/>
        <v>1898013.0099999974</v>
      </c>
      <c r="L127" s="65"/>
      <c r="M127" s="48"/>
      <c r="N127" s="81"/>
      <c r="O127" s="81"/>
      <c r="P127" s="81"/>
      <c r="Q127" s="30"/>
      <c r="AH127" s="106" t="s">
        <v>1708</v>
      </c>
      <c r="AI127" s="105">
        <v>12800</v>
      </c>
    </row>
    <row r="128" spans="1:35" x14ac:dyDescent="0.55000000000000004">
      <c r="A128" s="72" t="s">
        <v>2422</v>
      </c>
      <c r="B128" s="55"/>
      <c r="C128" s="118">
        <v>46169</v>
      </c>
      <c r="D128" s="61"/>
      <c r="E128" s="60" t="s">
        <v>2214</v>
      </c>
      <c r="F128" s="60" t="s">
        <v>2423</v>
      </c>
      <c r="G128" s="68" t="s">
        <v>1165</v>
      </c>
      <c r="H128" s="92" t="str">
        <f>VLOOKUP(G128,บัญชีโอน!$B:$D,3,FALSE)</f>
        <v>Kbank</v>
      </c>
      <c r="I128" s="66"/>
      <c r="J128" s="66">
        <v>55500</v>
      </c>
      <c r="K128" s="107">
        <f t="shared" si="8"/>
        <v>1842513.0099999974</v>
      </c>
      <c r="L128" s="65"/>
      <c r="M128" s="48"/>
      <c r="N128" s="117"/>
      <c r="O128" s="117"/>
      <c r="P128" s="117"/>
      <c r="Q128" s="30"/>
      <c r="AH128" s="106" t="s">
        <v>1690</v>
      </c>
      <c r="AI128" s="105"/>
    </row>
    <row r="129" spans="1:35" x14ac:dyDescent="0.55000000000000004">
      <c r="A129" s="102" t="s">
        <v>2424</v>
      </c>
      <c r="B129" s="63"/>
      <c r="C129" s="113">
        <v>46169</v>
      </c>
      <c r="D129" s="69"/>
      <c r="E129" s="68" t="s">
        <v>2126</v>
      </c>
      <c r="F129" s="100" t="s">
        <v>2425</v>
      </c>
      <c r="G129" s="68" t="s">
        <v>1352</v>
      </c>
      <c r="H129" s="92" t="str">
        <f>VLOOKUP(G129,บัญชีโอน!$B:$D,3,FALSE)</f>
        <v>BBL</v>
      </c>
      <c r="I129" s="66"/>
      <c r="J129" s="66">
        <v>6000</v>
      </c>
      <c r="K129" s="107">
        <f>K128+I129-J129</f>
        <v>1836513.0099999974</v>
      </c>
      <c r="L129" s="65"/>
      <c r="M129" s="58">
        <f>C123</f>
        <v>46169</v>
      </c>
      <c r="N129" s="116" t="s">
        <v>2092</v>
      </c>
      <c r="O129" s="116" t="s">
        <v>2091</v>
      </c>
      <c r="P129" s="116" t="s">
        <v>2090</v>
      </c>
      <c r="Q129" s="30">
        <v>17</v>
      </c>
      <c r="AH129" s="106" t="s">
        <v>1731</v>
      </c>
      <c r="AI129" s="105"/>
    </row>
    <row r="130" spans="1:35" ht="24.75" thickBot="1" x14ac:dyDescent="0.6">
      <c r="A130" s="56" t="s">
        <v>2426</v>
      </c>
      <c r="B130" s="45"/>
      <c r="C130" s="112">
        <v>46169</v>
      </c>
      <c r="D130" s="53"/>
      <c r="E130" s="52" t="s">
        <v>2241</v>
      </c>
      <c r="F130" s="52" t="s">
        <v>2427</v>
      </c>
      <c r="G130" s="52" t="s">
        <v>682</v>
      </c>
      <c r="H130" s="94" t="str">
        <f>VLOOKUP(G130,บัญชีโอน!$B:$D,3,FALSE)</f>
        <v>Kbank</v>
      </c>
      <c r="I130" s="50"/>
      <c r="J130" s="50">
        <v>22500</v>
      </c>
      <c r="K130" s="49">
        <f t="shared" si="8"/>
        <v>1814013.0099999974</v>
      </c>
      <c r="L130" s="65"/>
      <c r="M130" s="48" t="s">
        <v>2089</v>
      </c>
      <c r="N130" s="47">
        <f>SUM(I123:I130)</f>
        <v>0</v>
      </c>
      <c r="O130" s="47">
        <f>SUM(J123:J130)</f>
        <v>301489</v>
      </c>
      <c r="P130" s="47">
        <f>2000000-O130</f>
        <v>1698511</v>
      </c>
      <c r="Q130" s="30"/>
      <c r="AH130" s="106" t="s">
        <v>1737</v>
      </c>
      <c r="AI130" s="115"/>
    </row>
    <row r="131" spans="1:35" ht="24.75" thickTop="1" x14ac:dyDescent="0.55000000000000004">
      <c r="A131" s="64" t="s">
        <v>2428</v>
      </c>
      <c r="B131" s="88"/>
      <c r="C131" s="113">
        <v>46170</v>
      </c>
      <c r="D131" s="69"/>
      <c r="E131" s="68" t="s">
        <v>128</v>
      </c>
      <c r="F131" s="68" t="s">
        <v>2429</v>
      </c>
      <c r="G131" s="68" t="s">
        <v>718</v>
      </c>
      <c r="H131" s="96" t="str">
        <f>VLOOKUP(G131,บัญชีโอน!$B:$D,3,FALSE)</f>
        <v>Kbank</v>
      </c>
      <c r="I131" s="66"/>
      <c r="J131" s="66">
        <v>27000</v>
      </c>
      <c r="K131" s="66">
        <f t="shared" si="8"/>
        <v>1787013.0099999974</v>
      </c>
      <c r="L131" s="65"/>
      <c r="M131" s="30"/>
      <c r="N131" s="26"/>
      <c r="O131" s="26"/>
      <c r="P131" s="26"/>
      <c r="Q131" s="30"/>
      <c r="AH131" s="106" t="s">
        <v>1739</v>
      </c>
      <c r="AI131" s="115">
        <v>21412</v>
      </c>
    </row>
    <row r="132" spans="1:35" x14ac:dyDescent="0.55000000000000004">
      <c r="A132" s="64" t="s">
        <v>2430</v>
      </c>
      <c r="B132" s="88"/>
      <c r="C132" s="113">
        <v>46170</v>
      </c>
      <c r="D132" s="69"/>
      <c r="E132" s="68" t="s">
        <v>2214</v>
      </c>
      <c r="F132" s="68" t="s">
        <v>2431</v>
      </c>
      <c r="G132" s="68" t="s">
        <v>2007</v>
      </c>
      <c r="H132" s="92" t="str">
        <f>VLOOKUP(G132,บัญชีโอน!$B:$D,3,FALSE)</f>
        <v>Kbank</v>
      </c>
      <c r="I132" s="66"/>
      <c r="J132" s="66">
        <v>215000</v>
      </c>
      <c r="K132" s="66">
        <f t="shared" si="8"/>
        <v>1572013.0099999974</v>
      </c>
      <c r="L132" s="65"/>
      <c r="M132" s="30"/>
      <c r="N132" s="26"/>
      <c r="O132" s="26"/>
      <c r="P132" s="26"/>
      <c r="Q132" s="30"/>
      <c r="AH132" s="114" t="s">
        <v>1744</v>
      </c>
      <c r="AI132" s="115"/>
    </row>
    <row r="133" spans="1:35" x14ac:dyDescent="0.55000000000000004">
      <c r="A133" s="64" t="s">
        <v>2432</v>
      </c>
      <c r="B133" s="88"/>
      <c r="C133" s="113">
        <v>46170</v>
      </c>
      <c r="D133" s="61"/>
      <c r="E133" s="60" t="s">
        <v>128</v>
      </c>
      <c r="F133" s="60" t="s">
        <v>2433</v>
      </c>
      <c r="G133" s="60" t="s">
        <v>15</v>
      </c>
      <c r="H133" s="92" t="str">
        <f>VLOOKUP(G133,บัญชีโอน!$B:$D,3,FALSE)</f>
        <v>BBL</v>
      </c>
      <c r="I133" s="59"/>
      <c r="J133" s="59">
        <v>31561</v>
      </c>
      <c r="K133" s="66">
        <f>K132+I133-J133</f>
        <v>1540452.0099999974</v>
      </c>
      <c r="L133" s="65"/>
      <c r="M133" s="58">
        <f>C131</f>
        <v>46170</v>
      </c>
      <c r="N133" s="57" t="s">
        <v>2092</v>
      </c>
      <c r="O133" s="57" t="s">
        <v>2091</v>
      </c>
      <c r="P133" s="57" t="s">
        <v>2090</v>
      </c>
      <c r="Q133" s="30">
        <v>18</v>
      </c>
      <c r="AH133" s="114" t="s">
        <v>1756</v>
      </c>
      <c r="AI133" s="105">
        <v>9370</v>
      </c>
    </row>
    <row r="134" spans="1:35" ht="24.75" thickBot="1" x14ac:dyDescent="0.6">
      <c r="A134" s="56"/>
      <c r="B134" s="88"/>
      <c r="C134" s="112"/>
      <c r="D134" s="53"/>
      <c r="E134" s="52"/>
      <c r="F134" s="52"/>
      <c r="G134" s="52"/>
      <c r="H134" s="94" t="e">
        <f>VLOOKUP(G134,บัญชีโอน!$B:$D,3,FALSE)</f>
        <v>#N/A</v>
      </c>
      <c r="I134" s="50"/>
      <c r="J134" s="50"/>
      <c r="K134" s="49">
        <f t="shared" si="8"/>
        <v>1540452.0099999974</v>
      </c>
      <c r="L134" s="65"/>
      <c r="M134" s="48" t="s">
        <v>2089</v>
      </c>
      <c r="N134" s="47">
        <f>SUM(I131:I134)</f>
        <v>0</v>
      </c>
      <c r="O134" s="47">
        <f>SUM(J131:J134)</f>
        <v>273561</v>
      </c>
      <c r="P134" s="47">
        <f>2000000-O134</f>
        <v>1726439</v>
      </c>
      <c r="Q134" s="30"/>
      <c r="AH134" s="114" t="s">
        <v>2097</v>
      </c>
      <c r="AI134" s="105"/>
    </row>
    <row r="135" spans="1:35" ht="24.75" thickTop="1" x14ac:dyDescent="0.55000000000000004">
      <c r="A135" s="111" t="s">
        <v>2434</v>
      </c>
      <c r="B135" s="88"/>
      <c r="C135" s="110">
        <v>46171</v>
      </c>
      <c r="D135" s="109"/>
      <c r="E135" s="100" t="s">
        <v>128</v>
      </c>
      <c r="F135" s="108" t="s">
        <v>2435</v>
      </c>
      <c r="G135" s="108" t="s">
        <v>248</v>
      </c>
      <c r="H135" s="96" t="str">
        <f>VLOOKUP(G135,[1]บัญชีโอน!$B$1:$E$657,3,TRUE)</f>
        <v>Kbank</v>
      </c>
      <c r="I135" s="107"/>
      <c r="J135" s="107">
        <v>50000</v>
      </c>
      <c r="K135" s="99">
        <f t="shared" si="8"/>
        <v>1490452.0099999974</v>
      </c>
      <c r="L135" s="65"/>
      <c r="M135" s="48"/>
      <c r="N135" s="83"/>
      <c r="O135" s="83"/>
      <c r="P135" s="83"/>
      <c r="Q135" s="30"/>
      <c r="AH135" s="114" t="s">
        <v>2096</v>
      </c>
      <c r="AI135" s="105"/>
    </row>
    <row r="136" spans="1:35" x14ac:dyDescent="0.55000000000000004">
      <c r="A136" s="72" t="s">
        <v>2436</v>
      </c>
      <c r="B136" s="55"/>
      <c r="C136" s="62">
        <v>46171</v>
      </c>
      <c r="D136" s="61"/>
      <c r="E136" s="60" t="s">
        <v>2244</v>
      </c>
      <c r="F136" s="60" t="s">
        <v>2437</v>
      </c>
      <c r="G136" s="60" t="s">
        <v>894</v>
      </c>
      <c r="H136" s="96" t="str">
        <f>VLOOKUP(G136,[1]บัญชีโอน!$B$1:$E$657,3,TRUE)</f>
        <v>Kbank</v>
      </c>
      <c r="I136" s="59"/>
      <c r="J136" s="59">
        <v>25000</v>
      </c>
      <c r="K136" s="59">
        <f t="shared" si="8"/>
        <v>1465452.0099999974</v>
      </c>
      <c r="L136" s="65"/>
      <c r="M136" s="48"/>
      <c r="N136" s="81"/>
      <c r="O136" s="81"/>
      <c r="P136" s="81"/>
      <c r="Q136" s="30"/>
      <c r="AH136" s="114" t="s">
        <v>2095</v>
      </c>
      <c r="AI136" s="105"/>
    </row>
    <row r="137" spans="1:35" x14ac:dyDescent="0.55000000000000004">
      <c r="A137" s="72" t="s">
        <v>2438</v>
      </c>
      <c r="B137" s="55"/>
      <c r="C137" s="62">
        <v>46171</v>
      </c>
      <c r="D137" s="61"/>
      <c r="E137" s="60" t="s">
        <v>128</v>
      </c>
      <c r="F137" s="60" t="s">
        <v>2439</v>
      </c>
      <c r="G137" s="60" t="s">
        <v>126</v>
      </c>
      <c r="H137" s="96" t="str">
        <f>VLOOKUP(G137,[1]บัญชีโอน!$B$1:$E$657,3,FALSE)</f>
        <v>Kbank</v>
      </c>
      <c r="I137" s="59"/>
      <c r="J137" s="59">
        <v>30000</v>
      </c>
      <c r="K137" s="59">
        <f t="shared" si="8"/>
        <v>1435452.0099999974</v>
      </c>
      <c r="L137" s="65"/>
      <c r="M137" s="48"/>
      <c r="N137" s="81"/>
      <c r="O137" s="81"/>
      <c r="P137" s="81"/>
      <c r="Q137" s="30"/>
      <c r="AH137" s="114" t="s">
        <v>1795</v>
      </c>
      <c r="AI137" s="115"/>
    </row>
    <row r="138" spans="1:35" x14ac:dyDescent="0.55000000000000004">
      <c r="A138" s="72" t="s">
        <v>2440</v>
      </c>
      <c r="B138" s="55"/>
      <c r="C138" s="62">
        <v>46171</v>
      </c>
      <c r="D138" s="61"/>
      <c r="E138" s="60" t="s">
        <v>2193</v>
      </c>
      <c r="F138" s="60" t="s">
        <v>2441</v>
      </c>
      <c r="G138" s="60" t="s">
        <v>771</v>
      </c>
      <c r="H138" s="96" t="str">
        <f>VLOOKUP(G138,[1]บัญชีโอน!$B$1:$E$657,3,TRUE)</f>
        <v>SCB</v>
      </c>
      <c r="I138" s="59"/>
      <c r="J138" s="59">
        <v>25000</v>
      </c>
      <c r="K138" s="59">
        <f t="shared" si="8"/>
        <v>1410452.0099999974</v>
      </c>
      <c r="L138" s="65"/>
      <c r="M138" s="48"/>
      <c r="N138" s="81"/>
      <c r="O138" s="81"/>
      <c r="P138" s="81"/>
      <c r="Q138" s="30"/>
      <c r="AH138" s="106" t="s">
        <v>1806</v>
      </c>
      <c r="AI138" s="115">
        <v>238966</v>
      </c>
    </row>
    <row r="139" spans="1:35" x14ac:dyDescent="0.55000000000000004">
      <c r="A139" s="72" t="s">
        <v>2442</v>
      </c>
      <c r="B139" s="55"/>
      <c r="C139" s="62">
        <v>46171</v>
      </c>
      <c r="D139" s="61"/>
      <c r="E139" s="60" t="s">
        <v>422</v>
      </c>
      <c r="F139" s="60" t="s">
        <v>2443</v>
      </c>
      <c r="G139" s="60" t="s">
        <v>57</v>
      </c>
      <c r="H139" s="96" t="str">
        <f>VLOOKUP(G139,[1]บัญชีโอน!$B$1:$E$657,3,TRUE)</f>
        <v>Kbank</v>
      </c>
      <c r="I139" s="59"/>
      <c r="J139" s="59">
        <v>20000</v>
      </c>
      <c r="K139" s="59">
        <f t="shared" si="8"/>
        <v>1390452.0099999974</v>
      </c>
      <c r="L139" s="65"/>
      <c r="M139" s="48"/>
      <c r="N139" s="81"/>
      <c r="O139" s="81"/>
      <c r="P139" s="81"/>
      <c r="Q139" s="30"/>
      <c r="AH139" s="114" t="s">
        <v>1822</v>
      </c>
      <c r="AI139" s="115"/>
    </row>
    <row r="140" spans="1:35" x14ac:dyDescent="0.55000000000000004">
      <c r="A140" s="72" t="s">
        <v>2444</v>
      </c>
      <c r="B140" s="55"/>
      <c r="C140" s="62">
        <v>46171</v>
      </c>
      <c r="D140" s="61"/>
      <c r="E140" s="60" t="s">
        <v>422</v>
      </c>
      <c r="F140" s="60" t="s">
        <v>2445</v>
      </c>
      <c r="G140" s="60" t="s">
        <v>1564</v>
      </c>
      <c r="H140" s="96" t="str">
        <f>VLOOKUP(G140,[1]บัญชีโอน!$B$1:$E$657,3,TRUE)</f>
        <v>SCB</v>
      </c>
      <c r="I140" s="59"/>
      <c r="J140" s="59">
        <v>5000</v>
      </c>
      <c r="K140" s="59">
        <f t="shared" si="8"/>
        <v>1385452.0099999974</v>
      </c>
      <c r="L140" s="65"/>
      <c r="M140" s="48"/>
      <c r="N140" s="81"/>
      <c r="O140" s="81"/>
      <c r="P140" s="81"/>
      <c r="Q140" s="30"/>
      <c r="AH140" s="114" t="s">
        <v>1848</v>
      </c>
      <c r="AI140" s="115">
        <v>18810</v>
      </c>
    </row>
    <row r="141" spans="1:35" x14ac:dyDescent="0.55000000000000004">
      <c r="A141" s="72" t="s">
        <v>2446</v>
      </c>
      <c r="B141" s="55"/>
      <c r="C141" s="62">
        <v>46171</v>
      </c>
      <c r="D141" s="61"/>
      <c r="E141" s="60" t="s">
        <v>116</v>
      </c>
      <c r="F141" s="60" t="s">
        <v>2447</v>
      </c>
      <c r="G141" s="60" t="s">
        <v>171</v>
      </c>
      <c r="H141" s="96" t="str">
        <f>VLOOKUP(G141,[1]บัญชีโอน!$B$1:$E$657,3,TRUE)</f>
        <v>QRCode</v>
      </c>
      <c r="I141" s="59"/>
      <c r="J141" s="59">
        <v>214</v>
      </c>
      <c r="K141" s="59">
        <f t="shared" si="8"/>
        <v>1385238.0099999974</v>
      </c>
      <c r="L141" s="65"/>
      <c r="M141" s="48"/>
      <c r="N141" s="81"/>
      <c r="O141" s="81"/>
      <c r="P141" s="81"/>
      <c r="Q141" s="30"/>
      <c r="AH141" s="114" t="s">
        <v>1874</v>
      </c>
      <c r="AI141" s="105">
        <v>12025</v>
      </c>
    </row>
    <row r="142" spans="1:35" x14ac:dyDescent="0.55000000000000004">
      <c r="A142" s="72"/>
      <c r="B142" s="55"/>
      <c r="C142" s="62">
        <v>46171</v>
      </c>
      <c r="D142" s="61"/>
      <c r="E142" s="60" t="s">
        <v>2149</v>
      </c>
      <c r="F142" s="60" t="s">
        <v>2121</v>
      </c>
      <c r="G142" s="60"/>
      <c r="H142" s="96" t="e">
        <f>VLOOKUP(G142,บัญชีโอน!$B:$D,3,FALSE)</f>
        <v>#N/A</v>
      </c>
      <c r="I142" s="59">
        <v>3000000</v>
      </c>
      <c r="J142" s="59"/>
      <c r="K142" s="59">
        <f t="shared" si="8"/>
        <v>4385238.0099999979</v>
      </c>
      <c r="L142" s="65"/>
      <c r="M142" s="48"/>
      <c r="N142" s="81"/>
      <c r="O142" s="81"/>
      <c r="P142" s="81"/>
      <c r="Q142" s="30"/>
      <c r="AH142" s="106" t="s">
        <v>1878</v>
      </c>
      <c r="AI142" s="105"/>
    </row>
    <row r="143" spans="1:35" x14ac:dyDescent="0.55000000000000004">
      <c r="A143" s="72" t="s">
        <v>2448</v>
      </c>
      <c r="B143" s="55"/>
      <c r="C143" s="62">
        <v>46171</v>
      </c>
      <c r="D143" s="61"/>
      <c r="E143" s="60" t="s">
        <v>1635</v>
      </c>
      <c r="F143" s="60" t="s">
        <v>2449</v>
      </c>
      <c r="G143" s="60" t="s">
        <v>1635</v>
      </c>
      <c r="H143" s="92" t="str">
        <f>VLOOKUP(G143,บัญชีโอน!$B:$D,3,FALSE)</f>
        <v>SCB</v>
      </c>
      <c r="I143" s="59"/>
      <c r="J143" s="59">
        <v>175050</v>
      </c>
      <c r="K143" s="59">
        <f t="shared" si="8"/>
        <v>4210188.0099999979</v>
      </c>
      <c r="L143" s="65"/>
      <c r="M143" s="48"/>
      <c r="N143" s="81"/>
      <c r="O143" s="81"/>
      <c r="P143" s="81"/>
      <c r="Q143" s="30"/>
      <c r="AH143" s="106" t="s">
        <v>2094</v>
      </c>
      <c r="AI143" s="105">
        <v>18810</v>
      </c>
    </row>
    <row r="144" spans="1:35" x14ac:dyDescent="0.55000000000000004">
      <c r="A144" s="102" t="s">
        <v>2450</v>
      </c>
      <c r="B144" s="88"/>
      <c r="C144" s="70">
        <v>46171</v>
      </c>
      <c r="D144" s="101"/>
      <c r="E144" s="68" t="s">
        <v>2134</v>
      </c>
      <c r="F144" s="100" t="s">
        <v>2451</v>
      </c>
      <c r="G144" s="100" t="s">
        <v>565</v>
      </c>
      <c r="H144" s="96" t="str">
        <f>VLOOKUP(G144,บัญชีโอน!$B:$D,3,FALSE)</f>
        <v>BBL</v>
      </c>
      <c r="I144" s="99"/>
      <c r="J144" s="99">
        <v>56910</v>
      </c>
      <c r="K144" s="59">
        <f t="shared" si="8"/>
        <v>4153278.0099999979</v>
      </c>
      <c r="L144" s="65"/>
      <c r="M144" s="58">
        <f>C144</f>
        <v>46171</v>
      </c>
      <c r="N144" s="57" t="s">
        <v>2092</v>
      </c>
      <c r="O144" s="57" t="s">
        <v>2091</v>
      </c>
      <c r="P144" s="57" t="s">
        <v>2090</v>
      </c>
      <c r="Q144" s="30">
        <v>19</v>
      </c>
      <c r="AH144" s="106" t="s">
        <v>1922</v>
      </c>
      <c r="AI144" s="105"/>
    </row>
    <row r="145" spans="1:35" ht="24.75" thickBot="1" x14ac:dyDescent="0.6">
      <c r="A145" s="56" t="s">
        <v>2452</v>
      </c>
      <c r="B145" s="98"/>
      <c r="C145" s="54">
        <v>46171</v>
      </c>
      <c r="D145" s="53"/>
      <c r="E145" s="52" t="s">
        <v>2199</v>
      </c>
      <c r="F145" s="52" t="s">
        <v>2453</v>
      </c>
      <c r="G145" s="52" t="s">
        <v>969</v>
      </c>
      <c r="H145" s="94" t="str">
        <f>VLOOKUP(G145,[1]บัญชีโอน!$B$1:$E$657,3,TRUE)</f>
        <v>Kbank</v>
      </c>
      <c r="I145" s="50"/>
      <c r="J145" s="50">
        <v>25625</v>
      </c>
      <c r="K145" s="49">
        <f>K144+I145-J145</f>
        <v>4127653.0099999979</v>
      </c>
      <c r="L145" s="65"/>
      <c r="M145" s="48" t="s">
        <v>2089</v>
      </c>
      <c r="N145" s="47">
        <f>SUM(I144:I145)</f>
        <v>0</v>
      </c>
      <c r="O145" s="47">
        <f>SUM(J135:J145)</f>
        <v>412799</v>
      </c>
      <c r="P145" s="47">
        <f>2000000-O145</f>
        <v>1587201</v>
      </c>
      <c r="Q145" s="30"/>
      <c r="AH145" s="106" t="s">
        <v>1925</v>
      </c>
      <c r="AI145" s="105"/>
    </row>
    <row r="146" spans="1:35" ht="24.75" thickTop="1" x14ac:dyDescent="0.55000000000000004">
      <c r="A146" s="64" t="s">
        <v>2454</v>
      </c>
      <c r="B146" s="88"/>
      <c r="C146" s="70">
        <v>46172</v>
      </c>
      <c r="D146" s="69"/>
      <c r="E146" s="68" t="s">
        <v>422</v>
      </c>
      <c r="F146" s="68" t="s">
        <v>2455</v>
      </c>
      <c r="G146" s="68" t="s">
        <v>420</v>
      </c>
      <c r="H146" s="96" t="str">
        <f>VLOOKUP(G146,[1]บัญชีโอน!$B$1:$E$657,3,TRUE)</f>
        <v>Kbank</v>
      </c>
      <c r="I146" s="66"/>
      <c r="J146" s="66">
        <v>50000</v>
      </c>
      <c r="K146" s="66">
        <f t="shared" si="8"/>
        <v>4077653.0099999979</v>
      </c>
      <c r="L146" s="65"/>
      <c r="M146" s="30"/>
      <c r="N146" s="26"/>
      <c r="O146" s="26"/>
      <c r="P146" s="26"/>
      <c r="Q146" s="30"/>
      <c r="AH146" s="106" t="s">
        <v>2005</v>
      </c>
      <c r="AI146" s="105">
        <v>37620</v>
      </c>
    </row>
    <row r="147" spans="1:35" x14ac:dyDescent="0.55000000000000004">
      <c r="A147" s="64"/>
      <c r="B147" s="88"/>
      <c r="C147" s="70"/>
      <c r="D147" s="69"/>
      <c r="E147" s="68"/>
      <c r="F147" s="97"/>
      <c r="G147" s="68"/>
      <c r="H147" s="96" t="e">
        <f>VLOOKUP(G147,[1]บัญชีโอน!$B$1:$E$657,3,TRUE)</f>
        <v>#N/A</v>
      </c>
      <c r="I147" s="66"/>
      <c r="J147" s="66"/>
      <c r="K147" s="66">
        <f t="shared" si="8"/>
        <v>4077653.0099999979</v>
      </c>
      <c r="L147" s="65"/>
      <c r="M147" s="30"/>
      <c r="N147" s="26"/>
      <c r="O147" s="26"/>
      <c r="P147" s="26"/>
      <c r="Q147" s="30"/>
      <c r="AH147" s="106" t="s">
        <v>2012</v>
      </c>
      <c r="AI147" s="105">
        <v>37620</v>
      </c>
    </row>
    <row r="148" spans="1:35" x14ac:dyDescent="0.55000000000000004">
      <c r="A148" s="64"/>
      <c r="B148" s="88"/>
      <c r="C148" s="70"/>
      <c r="D148" s="69"/>
      <c r="E148" s="68"/>
      <c r="F148" s="97"/>
      <c r="G148" s="68"/>
      <c r="H148" s="96" t="e">
        <f>VLOOKUP(G148,[1]บัญชีโอน!$B$1:$E$657,3,TRUE)</f>
        <v>#N/A</v>
      </c>
      <c r="I148" s="66"/>
      <c r="J148" s="66"/>
      <c r="K148" s="66">
        <f t="shared" si="8"/>
        <v>4077653.0099999979</v>
      </c>
      <c r="L148" s="65"/>
      <c r="M148" s="30"/>
      <c r="N148" s="26"/>
      <c r="O148" s="26"/>
      <c r="P148" s="26"/>
      <c r="Q148" s="30"/>
      <c r="AH148" s="106" t="s">
        <v>2093</v>
      </c>
      <c r="AI148" s="105"/>
    </row>
    <row r="149" spans="1:35" x14ac:dyDescent="0.55000000000000004">
      <c r="A149" s="64"/>
      <c r="B149" s="88"/>
      <c r="C149" s="70"/>
      <c r="D149" s="69"/>
      <c r="E149" s="68"/>
      <c r="F149" s="97"/>
      <c r="G149" s="68"/>
      <c r="H149" s="96" t="e">
        <f>VLOOKUP(G149,[1]บัญชีโอน!$B$1:$E$657,3,FALSE)</f>
        <v>#N/A</v>
      </c>
      <c r="I149" s="66"/>
      <c r="J149" s="66"/>
      <c r="K149" s="66">
        <f t="shared" si="8"/>
        <v>4077653.0099999979</v>
      </c>
      <c r="L149" s="65"/>
      <c r="M149" s="30"/>
      <c r="N149" s="26"/>
      <c r="O149" s="26"/>
      <c r="P149" s="26"/>
      <c r="Q149" s="30"/>
      <c r="AH149" s="106" t="s">
        <v>2041</v>
      </c>
      <c r="AI149" s="105">
        <v>21600</v>
      </c>
    </row>
    <row r="150" spans="1:35" x14ac:dyDescent="0.55000000000000004">
      <c r="A150" s="64"/>
      <c r="B150" s="88"/>
      <c r="C150" s="70"/>
      <c r="D150" s="69"/>
      <c r="E150" s="68"/>
      <c r="F150" s="97"/>
      <c r="G150" s="68"/>
      <c r="H150" s="96" t="e">
        <f>VLOOKUP(G150,[1]บัญชีโอน!$B$1:$E$657,3,TRUE)</f>
        <v>#N/A</v>
      </c>
      <c r="I150" s="66"/>
      <c r="J150" s="66"/>
      <c r="K150" s="66">
        <f t="shared" si="8"/>
        <v>4077653.0099999979</v>
      </c>
      <c r="L150" s="65"/>
      <c r="M150" s="30"/>
      <c r="N150" s="26"/>
      <c r="O150" s="26"/>
      <c r="P150" s="26"/>
      <c r="Q150" s="30"/>
      <c r="AH150" s="106" t="s">
        <v>2046</v>
      </c>
      <c r="AI150" s="105">
        <v>46450</v>
      </c>
    </row>
    <row r="151" spans="1:35" x14ac:dyDescent="0.55000000000000004">
      <c r="A151" s="64"/>
      <c r="B151" s="88"/>
      <c r="C151" s="70"/>
      <c r="D151" s="69"/>
      <c r="E151" s="68"/>
      <c r="F151" s="97"/>
      <c r="G151" s="68"/>
      <c r="H151" s="96" t="e">
        <f>VLOOKUP(G151,[1]บัญชีโอน!$B$1:$E$657,3,TRUE)</f>
        <v>#N/A</v>
      </c>
      <c r="I151" s="66"/>
      <c r="J151" s="66"/>
      <c r="K151" s="66">
        <f t="shared" si="8"/>
        <v>4077653.0099999979</v>
      </c>
      <c r="L151" s="65"/>
      <c r="M151" s="30"/>
      <c r="N151" s="26"/>
      <c r="O151" s="26"/>
      <c r="P151" s="26"/>
      <c r="Q151" s="30"/>
      <c r="AH151" s="106" t="s">
        <v>2058</v>
      </c>
      <c r="AI151" s="105">
        <v>17290</v>
      </c>
    </row>
    <row r="152" spans="1:35" x14ac:dyDescent="0.55000000000000004">
      <c r="A152" s="64"/>
      <c r="B152" s="88"/>
      <c r="C152" s="70"/>
      <c r="D152" s="69"/>
      <c r="E152" s="68"/>
      <c r="F152" s="97"/>
      <c r="G152" s="68"/>
      <c r="H152" s="96" t="e">
        <f>VLOOKUP(G152,[1]บัญชีโอน!$B$1:$E$657,3,TRUE)</f>
        <v>#N/A</v>
      </c>
      <c r="I152" s="66"/>
      <c r="J152" s="66"/>
      <c r="K152" s="66">
        <f t="shared" si="8"/>
        <v>4077653.0099999979</v>
      </c>
      <c r="L152" s="65"/>
      <c r="M152" s="30"/>
      <c r="N152" s="26"/>
      <c r="O152" s="26"/>
      <c r="P152" s="26"/>
      <c r="Q152" s="30"/>
      <c r="AH152" s="106" t="s">
        <v>2068</v>
      </c>
      <c r="AI152" s="105">
        <v>8500</v>
      </c>
    </row>
    <row r="153" spans="1:35" ht="24.75" thickBot="1" x14ac:dyDescent="0.6">
      <c r="A153" s="64"/>
      <c r="B153" s="88"/>
      <c r="C153" s="70"/>
      <c r="D153" s="69"/>
      <c r="E153" s="68"/>
      <c r="F153" s="97"/>
      <c r="G153" s="68"/>
      <c r="H153" s="96" t="e">
        <f>VLOOKUP(G153,[1]บัญชีโอน!$B$1:$E$657,3,TRUE)</f>
        <v>#N/A</v>
      </c>
      <c r="I153" s="66"/>
      <c r="J153" s="66"/>
      <c r="K153" s="66">
        <f t="shared" si="8"/>
        <v>4077653.0099999979</v>
      </c>
      <c r="L153" s="65"/>
      <c r="M153" s="30"/>
      <c r="N153" s="26"/>
      <c r="O153" s="26"/>
      <c r="P153" s="26"/>
      <c r="Q153" s="30"/>
      <c r="AH153" s="104" t="s">
        <v>28</v>
      </c>
      <c r="AI153" s="103">
        <f>SUM(AI84:AI152)</f>
        <v>2605961</v>
      </c>
    </row>
    <row r="154" spans="1:35" ht="24.75" thickTop="1" x14ac:dyDescent="0.55000000000000004">
      <c r="A154" s="64"/>
      <c r="B154" s="88"/>
      <c r="C154" s="70"/>
      <c r="D154" s="69"/>
      <c r="E154" s="68"/>
      <c r="F154" s="97"/>
      <c r="G154" s="68"/>
      <c r="H154" s="96" t="e">
        <f>VLOOKUP(G154,บัญชีโอน!$B:$D,3,FALSE)</f>
        <v>#N/A</v>
      </c>
      <c r="I154" s="66"/>
      <c r="J154" s="66"/>
      <c r="K154" s="66">
        <f t="shared" si="8"/>
        <v>4077653.0099999979</v>
      </c>
      <c r="L154" s="65"/>
      <c r="M154" s="30"/>
      <c r="N154" s="26"/>
      <c r="O154" s="26"/>
      <c r="P154" s="26"/>
      <c r="Q154" s="30"/>
      <c r="AI154" s="74"/>
    </row>
    <row r="155" spans="1:35" x14ac:dyDescent="0.55000000000000004">
      <c r="A155" s="64"/>
      <c r="B155" s="88"/>
      <c r="C155" s="70"/>
      <c r="D155" s="69"/>
      <c r="E155" s="68"/>
      <c r="F155" s="97"/>
      <c r="G155" s="68"/>
      <c r="H155" s="96" t="e">
        <f>VLOOKUP(G155,บัญชีโอน!$B:$D,3,FALSE)</f>
        <v>#N/A</v>
      </c>
      <c r="I155" s="66"/>
      <c r="J155" s="66"/>
      <c r="K155" s="66">
        <f t="shared" si="8"/>
        <v>4077653.0099999979</v>
      </c>
      <c r="L155" s="65"/>
      <c r="M155" s="30"/>
      <c r="N155" s="26"/>
      <c r="O155" s="26"/>
      <c r="P155" s="26"/>
      <c r="Q155" s="30"/>
      <c r="AI155" s="74"/>
    </row>
    <row r="156" spans="1:35" x14ac:dyDescent="0.55000000000000004">
      <c r="A156" s="64"/>
      <c r="B156" s="88"/>
      <c r="C156" s="70"/>
      <c r="D156" s="69"/>
      <c r="E156" s="68"/>
      <c r="F156" s="97"/>
      <c r="G156" s="68"/>
      <c r="H156" s="96" t="e">
        <f>VLOOKUP(G156,บัญชีโอน!$B:$D,3,FALSE)</f>
        <v>#N/A</v>
      </c>
      <c r="I156" s="66"/>
      <c r="J156" s="66"/>
      <c r="K156" s="66">
        <f t="shared" si="8"/>
        <v>4077653.0099999979</v>
      </c>
      <c r="L156" s="65"/>
      <c r="M156" s="30"/>
      <c r="N156" s="26"/>
      <c r="O156" s="26"/>
      <c r="P156" s="26"/>
      <c r="Q156" s="30"/>
      <c r="AI156" s="74"/>
    </row>
    <row r="157" spans="1:35" x14ac:dyDescent="0.55000000000000004">
      <c r="A157" s="64"/>
      <c r="B157" s="88"/>
      <c r="C157" s="70"/>
      <c r="D157" s="69"/>
      <c r="E157" s="68"/>
      <c r="F157" s="97"/>
      <c r="G157" s="68"/>
      <c r="H157" s="96" t="e">
        <f>VLOOKUP(G157,บัญชีโอน!$B:$D,3,FALSE)</f>
        <v>#N/A</v>
      </c>
      <c r="I157" s="66"/>
      <c r="J157" s="66"/>
      <c r="K157" s="66">
        <f t="shared" si="8"/>
        <v>4077653.0099999979</v>
      </c>
      <c r="L157" s="65"/>
      <c r="M157" s="30"/>
      <c r="N157" s="26"/>
      <c r="O157" s="26"/>
      <c r="P157" s="26"/>
      <c r="Q157" s="30"/>
      <c r="AI157" s="74"/>
    </row>
    <row r="158" spans="1:35" x14ac:dyDescent="0.55000000000000004">
      <c r="A158" s="64"/>
      <c r="B158" s="88"/>
      <c r="C158" s="70"/>
      <c r="D158" s="69"/>
      <c r="E158" s="68"/>
      <c r="F158" s="97"/>
      <c r="G158" s="68"/>
      <c r="H158" s="96" t="e">
        <f>VLOOKUP(G158,บัญชีโอน!$B:$D,3,FALSE)</f>
        <v>#N/A</v>
      </c>
      <c r="I158" s="66"/>
      <c r="J158" s="66"/>
      <c r="K158" s="66">
        <f t="shared" si="8"/>
        <v>4077653.0099999979</v>
      </c>
      <c r="L158" s="65"/>
      <c r="M158" s="30"/>
      <c r="N158" s="26"/>
      <c r="O158" s="26"/>
      <c r="P158" s="26"/>
      <c r="Q158" s="30"/>
      <c r="AI158" s="74"/>
    </row>
    <row r="159" spans="1:35" x14ac:dyDescent="0.55000000000000004">
      <c r="A159" s="64"/>
      <c r="B159" s="88"/>
      <c r="C159" s="70"/>
      <c r="D159" s="69"/>
      <c r="E159" s="68"/>
      <c r="F159" s="97"/>
      <c r="G159" s="68"/>
      <c r="H159" s="96" t="e">
        <f>VLOOKUP(G159,บัญชีโอน!$B:$D,3,FALSE)</f>
        <v>#N/A</v>
      </c>
      <c r="I159" s="66"/>
      <c r="J159" s="66"/>
      <c r="K159" s="66">
        <f t="shared" si="8"/>
        <v>4077653.0099999979</v>
      </c>
      <c r="L159" s="65"/>
      <c r="M159" s="30"/>
      <c r="N159" s="26"/>
      <c r="O159" s="26"/>
      <c r="P159" s="26"/>
      <c r="Q159" s="30"/>
      <c r="AI159" s="74"/>
    </row>
    <row r="160" spans="1:35" x14ac:dyDescent="0.55000000000000004">
      <c r="A160" s="64"/>
      <c r="B160" s="55"/>
      <c r="C160" s="70"/>
      <c r="D160" s="61"/>
      <c r="E160" s="68"/>
      <c r="F160" s="95"/>
      <c r="G160" s="60"/>
      <c r="H160" s="92" t="e">
        <f>VLOOKUP(G160,บัญชีโอน!$B:$D,3,FALSE)</f>
        <v>#N/A</v>
      </c>
      <c r="I160" s="59"/>
      <c r="J160" s="59"/>
      <c r="K160" s="66">
        <f t="shared" si="8"/>
        <v>4077653.0099999979</v>
      </c>
      <c r="L160" s="65"/>
      <c r="M160" s="58">
        <f>C146</f>
        <v>46172</v>
      </c>
      <c r="N160" s="57" t="s">
        <v>2092</v>
      </c>
      <c r="O160" s="57" t="s">
        <v>2091</v>
      </c>
      <c r="P160" s="57" t="s">
        <v>2090</v>
      </c>
      <c r="Q160" s="30">
        <v>20</v>
      </c>
      <c r="AI160" s="74"/>
    </row>
    <row r="161" spans="1:35" ht="24.75" thickBot="1" x14ac:dyDescent="0.6">
      <c r="A161" s="56"/>
      <c r="B161" s="45"/>
      <c r="C161" s="54"/>
      <c r="D161" s="53"/>
      <c r="E161" s="52"/>
      <c r="F161" s="52"/>
      <c r="G161" s="52"/>
      <c r="H161" s="94" t="e">
        <f>VLOOKUP(G161,บัญชีโอน!$B:$D,3,FALSE)</f>
        <v>#N/A</v>
      </c>
      <c r="I161" s="50"/>
      <c r="J161" s="50"/>
      <c r="K161" s="49">
        <f t="shared" si="8"/>
        <v>4077653.0099999979</v>
      </c>
      <c r="L161" s="65"/>
      <c r="M161" s="48" t="s">
        <v>2089</v>
      </c>
      <c r="N161" s="47">
        <f>SUM(I146:I161)</f>
        <v>0</v>
      </c>
      <c r="O161" s="47">
        <f>SUM(J146:J161)</f>
        <v>50000</v>
      </c>
      <c r="P161" s="47">
        <f>2000000-O161</f>
        <v>1950000</v>
      </c>
      <c r="Q161" s="30"/>
      <c r="AI161" s="74"/>
    </row>
    <row r="162" spans="1:35" ht="24.75" thickTop="1" x14ac:dyDescent="0.55000000000000004">
      <c r="A162" s="80"/>
      <c r="B162" s="73"/>
      <c r="C162" s="79"/>
      <c r="D162" s="78"/>
      <c r="E162" s="77"/>
      <c r="F162" s="77"/>
      <c r="G162" s="93"/>
      <c r="H162" s="92" t="e">
        <f>VLOOKUP(G162,[1]บัญชีโอน!$B$1:$E$657,3,FALSE)</f>
        <v>#N/A</v>
      </c>
      <c r="I162" s="75"/>
      <c r="J162" s="75"/>
      <c r="K162" s="75">
        <f t="shared" si="8"/>
        <v>4077653.0099999979</v>
      </c>
      <c r="L162" s="65"/>
      <c r="M162" s="48"/>
      <c r="N162" s="83"/>
      <c r="O162" s="83"/>
      <c r="P162" s="83"/>
      <c r="Q162" s="30"/>
      <c r="AI162" s="74"/>
    </row>
    <row r="163" spans="1:35" x14ac:dyDescent="0.55000000000000004">
      <c r="A163" s="64"/>
      <c r="B163" s="63"/>
      <c r="C163" s="70"/>
      <c r="D163" s="69"/>
      <c r="E163" s="68"/>
      <c r="F163" s="68"/>
      <c r="G163" s="68"/>
      <c r="H163" s="92" t="e">
        <f>VLOOKUP(G163,บัญชีโอน!$B:$D,3,FALSE)</f>
        <v>#N/A</v>
      </c>
      <c r="I163" s="66"/>
      <c r="J163" s="66"/>
      <c r="K163" s="66">
        <f t="shared" si="8"/>
        <v>4077653.0099999979</v>
      </c>
      <c r="L163" s="65"/>
      <c r="M163" s="48"/>
      <c r="N163" s="81"/>
      <c r="O163" s="81"/>
      <c r="P163" s="81"/>
      <c r="Q163" s="30"/>
      <c r="AI163" s="74"/>
    </row>
    <row r="164" spans="1:35" x14ac:dyDescent="0.55000000000000004">
      <c r="A164" s="64"/>
      <c r="B164" s="63"/>
      <c r="C164" s="70"/>
      <c r="D164" s="69"/>
      <c r="E164" s="68"/>
      <c r="F164" s="68"/>
      <c r="G164" s="68"/>
      <c r="H164" s="92" t="e">
        <f>VLOOKUP(G164,บัญชีโอน!$B:$D,3,FALSE)</f>
        <v>#N/A</v>
      </c>
      <c r="I164" s="66"/>
      <c r="J164" s="66"/>
      <c r="K164" s="66">
        <f t="shared" si="8"/>
        <v>4077653.0099999979</v>
      </c>
      <c r="L164" s="65"/>
      <c r="M164" s="48"/>
      <c r="N164" s="81"/>
      <c r="O164" s="81"/>
      <c r="P164" s="81"/>
      <c r="Q164" s="30"/>
      <c r="AI164" s="74"/>
    </row>
    <row r="165" spans="1:35" x14ac:dyDescent="0.55000000000000004">
      <c r="A165" s="64"/>
      <c r="B165" s="63"/>
      <c r="C165" s="70"/>
      <c r="D165" s="69"/>
      <c r="E165" s="68"/>
      <c r="F165" s="68"/>
      <c r="G165" s="68"/>
      <c r="H165" s="92" t="e">
        <f>VLOOKUP(G165,บัญชีโอน!$B:$D,3,FALSE)</f>
        <v>#N/A</v>
      </c>
      <c r="I165" s="66"/>
      <c r="J165" s="66"/>
      <c r="K165" s="66">
        <f t="shared" si="8"/>
        <v>4077653.0099999979</v>
      </c>
      <c r="L165" s="65"/>
      <c r="M165" s="48"/>
      <c r="N165" s="81"/>
      <c r="O165" s="81"/>
      <c r="P165" s="81"/>
      <c r="Q165" s="30"/>
      <c r="AI165" s="74"/>
    </row>
    <row r="166" spans="1:35" x14ac:dyDescent="0.55000000000000004">
      <c r="A166" s="64"/>
      <c r="B166" s="55"/>
      <c r="C166" s="70"/>
      <c r="D166" s="61"/>
      <c r="E166" s="60"/>
      <c r="F166" s="60"/>
      <c r="G166" s="60"/>
      <c r="H166" s="92" t="e">
        <f>VLOOKUP(G166,บัญชีโอน!$B:$D,3,FALSE)</f>
        <v>#N/A</v>
      </c>
      <c r="I166" s="59"/>
      <c r="J166" s="59"/>
      <c r="K166" s="59">
        <f t="shared" si="8"/>
        <v>4077653.0099999979</v>
      </c>
      <c r="L166" s="65"/>
      <c r="M166" s="48"/>
      <c r="N166" s="81"/>
      <c r="O166" s="81"/>
      <c r="P166" s="81"/>
      <c r="Q166" s="30"/>
      <c r="AI166" s="74"/>
    </row>
    <row r="167" spans="1:35" x14ac:dyDescent="0.55000000000000004">
      <c r="A167" s="64"/>
      <c r="B167" s="55"/>
      <c r="C167" s="70"/>
      <c r="D167" s="61"/>
      <c r="E167" s="60"/>
      <c r="F167" s="60"/>
      <c r="G167" s="60"/>
      <c r="H167" s="51" t="e">
        <f>VLOOKUP(G167,บัญชีโอน!$B:$D,3,FALSE)</f>
        <v>#N/A</v>
      </c>
      <c r="I167" s="59"/>
      <c r="J167" s="59"/>
      <c r="K167" s="59">
        <f>K166+I167-J167</f>
        <v>4077653.0099999979</v>
      </c>
      <c r="L167" s="65"/>
      <c r="M167" s="58">
        <f>C167</f>
        <v>0</v>
      </c>
      <c r="N167" s="57" t="s">
        <v>2092</v>
      </c>
      <c r="O167" s="57" t="s">
        <v>2091</v>
      </c>
      <c r="P167" s="57" t="s">
        <v>2090</v>
      </c>
      <c r="Q167" s="30">
        <v>21</v>
      </c>
      <c r="AI167" s="74"/>
    </row>
    <row r="168" spans="1:35" ht="24.75" thickBot="1" x14ac:dyDescent="0.6">
      <c r="A168" s="56"/>
      <c r="B168" s="91"/>
      <c r="C168" s="54"/>
      <c r="D168" s="53"/>
      <c r="E168" s="52"/>
      <c r="F168" s="52"/>
      <c r="G168" s="52"/>
      <c r="H168" s="71" t="e">
        <f>VLOOKUP(G168,บัญชีโอน!$B:$D,3,FALSE)</f>
        <v>#N/A</v>
      </c>
      <c r="I168" s="50"/>
      <c r="J168" s="50"/>
      <c r="K168" s="49">
        <f t="shared" ref="K168:K223" si="10">K167+I168-J168</f>
        <v>4077653.0099999979</v>
      </c>
      <c r="L168" s="65"/>
      <c r="M168" s="48" t="s">
        <v>2089</v>
      </c>
      <c r="N168" s="47">
        <f>SUM(I162:I168)</f>
        <v>0</v>
      </c>
      <c r="O168" s="47">
        <f>SUM(J162:J168)</f>
        <v>0</v>
      </c>
      <c r="P168" s="47">
        <f>2000000-O168</f>
        <v>2000000</v>
      </c>
      <c r="Q168" s="30"/>
      <c r="AI168" s="74"/>
    </row>
    <row r="169" spans="1:35" ht="24.75" thickTop="1" x14ac:dyDescent="0.55000000000000004">
      <c r="A169" s="64"/>
      <c r="B169" s="89"/>
      <c r="C169" s="70"/>
      <c r="D169" s="69"/>
      <c r="E169" s="68"/>
      <c r="F169" s="68"/>
      <c r="G169" s="68"/>
      <c r="H169" s="67" t="e">
        <f>VLOOKUP(G169,บัญชีโอน!$B:$D,3,FALSE)</f>
        <v>#N/A</v>
      </c>
      <c r="I169" s="66"/>
      <c r="J169" s="66"/>
      <c r="K169" s="66">
        <f t="shared" si="10"/>
        <v>4077653.0099999979</v>
      </c>
      <c r="L169" s="90"/>
      <c r="M169" s="30"/>
      <c r="N169" s="26"/>
      <c r="O169" s="26"/>
      <c r="P169" s="26"/>
      <c r="Q169" s="30"/>
      <c r="AI169" s="74"/>
    </row>
    <row r="170" spans="1:35" x14ac:dyDescent="0.55000000000000004">
      <c r="A170" s="64"/>
      <c r="B170" s="89"/>
      <c r="C170" s="70"/>
      <c r="D170" s="69"/>
      <c r="E170" s="68"/>
      <c r="F170" s="68"/>
      <c r="G170" s="68"/>
      <c r="H170" s="67" t="e">
        <f>VLOOKUP(G170,บัญชีโอน!$B:$D,3,FALSE)</f>
        <v>#N/A</v>
      </c>
      <c r="I170" s="66"/>
      <c r="J170" s="66"/>
      <c r="K170" s="66">
        <f t="shared" si="10"/>
        <v>4077653.0099999979</v>
      </c>
      <c r="L170" s="65"/>
      <c r="M170" s="30"/>
      <c r="N170" s="26"/>
      <c r="O170" s="26"/>
      <c r="P170" s="26"/>
      <c r="Q170" s="30"/>
      <c r="AI170" s="74"/>
    </row>
    <row r="171" spans="1:35" x14ac:dyDescent="0.55000000000000004">
      <c r="A171" s="64"/>
      <c r="B171" s="88"/>
      <c r="C171" s="70"/>
      <c r="D171" s="69"/>
      <c r="E171" s="68"/>
      <c r="F171" s="68"/>
      <c r="G171" s="68"/>
      <c r="H171" s="67" t="e">
        <f>VLOOKUP(G171,บัญชีโอน!$B:$D,3,FALSE)</f>
        <v>#N/A</v>
      </c>
      <c r="I171" s="66"/>
      <c r="J171" s="66"/>
      <c r="K171" s="66">
        <f t="shared" si="10"/>
        <v>4077653.0099999979</v>
      </c>
      <c r="L171" s="65"/>
      <c r="M171" s="30"/>
      <c r="N171" s="26"/>
      <c r="O171" s="26"/>
      <c r="P171" s="26"/>
      <c r="Q171" s="30"/>
      <c r="AI171" s="74"/>
    </row>
    <row r="172" spans="1:35" x14ac:dyDescent="0.55000000000000004">
      <c r="A172" s="64"/>
      <c r="B172" s="88"/>
      <c r="C172" s="70"/>
      <c r="D172" s="69"/>
      <c r="E172" s="68"/>
      <c r="F172" s="68"/>
      <c r="G172" s="68"/>
      <c r="H172" s="67" t="e">
        <f>VLOOKUP(G172,บัญชีโอน!$B:$D,3,FALSE)</f>
        <v>#N/A</v>
      </c>
      <c r="I172" s="66"/>
      <c r="J172" s="66"/>
      <c r="K172" s="66">
        <f t="shared" si="10"/>
        <v>4077653.0099999979</v>
      </c>
      <c r="L172" s="65"/>
      <c r="M172" s="30"/>
      <c r="N172" s="26"/>
      <c r="O172" s="26"/>
      <c r="P172" s="26"/>
      <c r="Q172" s="30"/>
      <c r="AI172" s="74"/>
    </row>
    <row r="173" spans="1:35" x14ac:dyDescent="0.55000000000000004">
      <c r="A173" s="72"/>
      <c r="B173" s="63"/>
      <c r="C173" s="70"/>
      <c r="D173" s="61"/>
      <c r="E173" s="60"/>
      <c r="F173" s="60"/>
      <c r="G173" s="60"/>
      <c r="H173" s="51" t="e">
        <f>VLOOKUP(G173,บัญชีโอน!$B:$D,3,FALSE)</f>
        <v>#N/A</v>
      </c>
      <c r="I173" s="59"/>
      <c r="J173" s="59"/>
      <c r="K173" s="59">
        <f>K172+I173-J173</f>
        <v>4077653.0099999979</v>
      </c>
      <c r="L173" s="65"/>
      <c r="M173" s="58">
        <f>C170</f>
        <v>0</v>
      </c>
      <c r="N173" s="57" t="s">
        <v>2092</v>
      </c>
      <c r="O173" s="57" t="s">
        <v>2091</v>
      </c>
      <c r="P173" s="57" t="s">
        <v>2090</v>
      </c>
      <c r="Q173" s="30">
        <v>22</v>
      </c>
      <c r="AI173" s="74"/>
    </row>
    <row r="174" spans="1:35" ht="24.75" thickBot="1" x14ac:dyDescent="0.6">
      <c r="A174" s="56"/>
      <c r="B174" s="45"/>
      <c r="C174" s="54"/>
      <c r="D174" s="53"/>
      <c r="E174" s="52"/>
      <c r="F174" s="52"/>
      <c r="G174" s="52"/>
      <c r="H174" s="71" t="e">
        <f>VLOOKUP(G174,บัญชีโอน!$B:$D,3,FALSE)</f>
        <v>#N/A</v>
      </c>
      <c r="I174" s="50"/>
      <c r="J174" s="50"/>
      <c r="K174" s="49">
        <f t="shared" si="10"/>
        <v>4077653.0099999979</v>
      </c>
      <c r="L174" s="65"/>
      <c r="M174" s="48" t="s">
        <v>2089</v>
      </c>
      <c r="N174" s="47">
        <f>SUM(I169:I174)</f>
        <v>0</v>
      </c>
      <c r="O174" s="47">
        <f>SUM(J169:J174)</f>
        <v>0</v>
      </c>
      <c r="P174" s="47">
        <f>2000000-O174</f>
        <v>2000000</v>
      </c>
      <c r="Q174" s="30"/>
      <c r="AI174" s="74"/>
    </row>
    <row r="175" spans="1:35" ht="24.75" thickTop="1" x14ac:dyDescent="0.55000000000000004">
      <c r="A175" s="64"/>
      <c r="B175" s="63"/>
      <c r="C175" s="70"/>
      <c r="D175" s="69"/>
      <c r="E175" s="68"/>
      <c r="F175" s="68"/>
      <c r="G175" s="68"/>
      <c r="H175" s="67" t="e">
        <f>VLOOKUP(G175,บัญชีโอน!$B:$D,3,FALSE)</f>
        <v>#N/A</v>
      </c>
      <c r="I175" s="66"/>
      <c r="J175" s="66"/>
      <c r="K175" s="66">
        <f t="shared" si="10"/>
        <v>4077653.0099999979</v>
      </c>
      <c r="L175" s="65"/>
      <c r="M175" s="30"/>
      <c r="N175" s="26"/>
      <c r="O175" s="26"/>
      <c r="P175" s="26"/>
      <c r="Q175" s="30"/>
      <c r="AI175" s="74"/>
    </row>
    <row r="176" spans="1:35" x14ac:dyDescent="0.55000000000000004">
      <c r="A176" s="64"/>
      <c r="B176" s="63"/>
      <c r="C176" s="70"/>
      <c r="D176" s="69"/>
      <c r="E176" s="68"/>
      <c r="F176" s="68"/>
      <c r="G176" s="68"/>
      <c r="H176" s="67" t="e">
        <f>VLOOKUP(G176,บัญชีโอน!$B:$D,3,FALSE)</f>
        <v>#N/A</v>
      </c>
      <c r="I176" s="66"/>
      <c r="J176" s="66"/>
      <c r="K176" s="66">
        <f t="shared" si="10"/>
        <v>4077653.0099999979</v>
      </c>
      <c r="L176" s="65"/>
      <c r="M176" s="30"/>
      <c r="N176" s="26"/>
      <c r="O176" s="26"/>
      <c r="P176" s="26"/>
      <c r="Q176" s="30"/>
      <c r="AI176" s="74"/>
    </row>
    <row r="177" spans="1:35" x14ac:dyDescent="0.55000000000000004">
      <c r="A177" s="64"/>
      <c r="B177" s="63"/>
      <c r="C177" s="70"/>
      <c r="D177" s="69"/>
      <c r="E177" s="68"/>
      <c r="F177" s="68"/>
      <c r="G177" s="68"/>
      <c r="H177" s="51" t="e">
        <f>VLOOKUP(G177,บัญชีโอน!$B:$D,3,FALSE)</f>
        <v>#N/A</v>
      </c>
      <c r="I177" s="66"/>
      <c r="J177" s="66"/>
      <c r="K177" s="66">
        <f t="shared" si="10"/>
        <v>4077653.0099999979</v>
      </c>
      <c r="L177" s="65"/>
      <c r="M177" s="30"/>
      <c r="N177" s="26"/>
      <c r="O177" s="26"/>
      <c r="P177" s="26"/>
      <c r="Q177" s="30"/>
      <c r="AI177" s="74"/>
    </row>
    <row r="178" spans="1:35" x14ac:dyDescent="0.55000000000000004">
      <c r="A178" s="64"/>
      <c r="B178" s="55"/>
      <c r="C178" s="70"/>
      <c r="D178" s="69"/>
      <c r="E178" s="68"/>
      <c r="F178" s="68"/>
      <c r="G178" s="68"/>
      <c r="H178" s="51" t="e">
        <f>VLOOKUP(G178,บัญชีโอน!$B:$D,3,FALSE)</f>
        <v>#N/A</v>
      </c>
      <c r="I178" s="66"/>
      <c r="J178" s="66"/>
      <c r="K178" s="66">
        <f t="shared" si="10"/>
        <v>4077653.0099999979</v>
      </c>
      <c r="L178" s="65"/>
      <c r="M178" s="30"/>
      <c r="N178" s="26"/>
      <c r="O178" s="26"/>
      <c r="P178" s="26"/>
      <c r="Q178" s="30"/>
      <c r="AI178" s="74"/>
    </row>
    <row r="179" spans="1:35" x14ac:dyDescent="0.55000000000000004">
      <c r="A179" s="64"/>
      <c r="B179" s="45"/>
      <c r="C179" s="70"/>
      <c r="D179" s="69"/>
      <c r="E179" s="68"/>
      <c r="F179" s="68"/>
      <c r="G179" s="68"/>
      <c r="H179" s="51" t="e">
        <f>VLOOKUP(G179,บัญชีโอน!$B:$D,3,FALSE)</f>
        <v>#N/A</v>
      </c>
      <c r="I179" s="66"/>
      <c r="J179" s="66"/>
      <c r="K179" s="66">
        <f t="shared" si="10"/>
        <v>4077653.0099999979</v>
      </c>
      <c r="L179" s="65"/>
      <c r="M179" s="30"/>
      <c r="N179" s="26"/>
      <c r="O179" s="26"/>
      <c r="P179" s="26"/>
      <c r="Q179" s="30"/>
      <c r="AI179" s="74"/>
    </row>
    <row r="180" spans="1:35" x14ac:dyDescent="0.55000000000000004">
      <c r="A180" s="64"/>
      <c r="B180" s="63"/>
      <c r="C180" s="70"/>
      <c r="D180" s="61"/>
      <c r="E180" s="60"/>
      <c r="F180" s="60"/>
      <c r="G180" s="60"/>
      <c r="H180" s="51" t="e">
        <f>VLOOKUP(G180,บัญชีโอน!$B:$D,3,FALSE)</f>
        <v>#N/A</v>
      </c>
      <c r="I180" s="59"/>
      <c r="J180" s="59"/>
      <c r="K180" s="66">
        <f t="shared" si="10"/>
        <v>4077653.0099999979</v>
      </c>
      <c r="L180" s="65"/>
      <c r="M180" s="58">
        <f>C175</f>
        <v>0</v>
      </c>
      <c r="N180" s="57" t="s">
        <v>2092</v>
      </c>
      <c r="O180" s="57" t="s">
        <v>2091</v>
      </c>
      <c r="P180" s="57" t="s">
        <v>2090</v>
      </c>
      <c r="Q180" s="30">
        <v>23</v>
      </c>
      <c r="AI180" s="74"/>
    </row>
    <row r="181" spans="1:35" ht="24.75" thickBot="1" x14ac:dyDescent="0.6">
      <c r="A181" s="56"/>
      <c r="B181" s="63"/>
      <c r="C181" s="70"/>
      <c r="D181" s="53"/>
      <c r="E181" s="52"/>
      <c r="F181" s="52"/>
      <c r="G181" s="52"/>
      <c r="H181" s="71" t="e">
        <f>VLOOKUP(G181,บัญชีโอน!$B:$D,3,FALSE)</f>
        <v>#N/A</v>
      </c>
      <c r="I181" s="50"/>
      <c r="J181" s="50"/>
      <c r="K181" s="49">
        <f t="shared" si="10"/>
        <v>4077653.0099999979</v>
      </c>
      <c r="L181" s="65"/>
      <c r="M181" s="48" t="s">
        <v>2089</v>
      </c>
      <c r="N181" s="47">
        <f>SUM(I175:I181)</f>
        <v>0</v>
      </c>
      <c r="O181" s="47">
        <f>SUM(J175:J181)</f>
        <v>0</v>
      </c>
      <c r="P181" s="47">
        <f>2000000-O181</f>
        <v>2000000</v>
      </c>
      <c r="Q181" s="30"/>
      <c r="AI181" s="74"/>
    </row>
    <row r="182" spans="1:35" ht="24.75" thickTop="1" x14ac:dyDescent="0.55000000000000004">
      <c r="A182" s="85"/>
      <c r="B182" s="63"/>
      <c r="C182" s="87"/>
      <c r="D182" s="86"/>
      <c r="E182" s="77"/>
      <c r="F182" s="77"/>
      <c r="G182" s="77"/>
      <c r="H182" s="76" t="e">
        <f>VLOOKUP(G182,บัญชีโอน!$B:$D,3,FALSE)</f>
        <v>#N/A</v>
      </c>
      <c r="I182" s="75"/>
      <c r="J182" s="75"/>
      <c r="K182" s="75">
        <f t="shared" si="10"/>
        <v>4077653.0099999979</v>
      </c>
      <c r="L182" s="65"/>
      <c r="M182" s="30"/>
      <c r="N182" s="26"/>
      <c r="O182" s="26"/>
      <c r="P182" s="26"/>
      <c r="Q182" s="30"/>
      <c r="AI182" s="74"/>
    </row>
    <row r="183" spans="1:35" x14ac:dyDescent="0.55000000000000004">
      <c r="A183" s="64"/>
      <c r="B183" s="63"/>
      <c r="C183" s="70"/>
      <c r="D183" s="69"/>
      <c r="E183" s="68"/>
      <c r="F183" s="68"/>
      <c r="G183" s="68"/>
      <c r="H183" s="67" t="e">
        <f>VLOOKUP(G183,บัญชีโอน!$B:$D,3,FALSE)</f>
        <v>#N/A</v>
      </c>
      <c r="I183" s="66"/>
      <c r="J183" s="66"/>
      <c r="K183" s="66">
        <f t="shared" si="10"/>
        <v>4077653.0099999979</v>
      </c>
      <c r="L183" s="65"/>
      <c r="M183" s="30"/>
      <c r="N183" s="26"/>
      <c r="O183" s="26"/>
      <c r="P183" s="26"/>
      <c r="Q183" s="30"/>
      <c r="AI183" s="74"/>
    </row>
    <row r="184" spans="1:35" x14ac:dyDescent="0.55000000000000004">
      <c r="A184" s="64"/>
      <c r="B184" s="63"/>
      <c r="C184" s="70"/>
      <c r="D184" s="61"/>
      <c r="E184" s="60"/>
      <c r="F184" s="60"/>
      <c r="G184" s="60"/>
      <c r="H184" s="51" t="e">
        <f>VLOOKUP(G184,บัญชีโอน!$B:$D,3,FALSE)</f>
        <v>#N/A</v>
      </c>
      <c r="I184" s="59"/>
      <c r="J184" s="59"/>
      <c r="K184" s="59">
        <f t="shared" si="10"/>
        <v>4077653.0099999979</v>
      </c>
      <c r="L184" s="65"/>
      <c r="M184" s="30"/>
      <c r="N184" s="26"/>
      <c r="O184" s="26"/>
      <c r="P184" s="26"/>
      <c r="Q184" s="30"/>
      <c r="AI184" s="74"/>
    </row>
    <row r="185" spans="1:35" x14ac:dyDescent="0.55000000000000004">
      <c r="A185" s="64"/>
      <c r="B185" s="63"/>
      <c r="C185" s="62"/>
      <c r="D185" s="61"/>
      <c r="E185" s="60"/>
      <c r="F185" s="60"/>
      <c r="G185" s="60"/>
      <c r="H185" s="51" t="e">
        <f>VLOOKUP(G185,บัญชีโอน!$B:$D,3,FALSE)</f>
        <v>#N/A</v>
      </c>
      <c r="I185" s="59"/>
      <c r="J185" s="59"/>
      <c r="K185" s="59">
        <f t="shared" si="10"/>
        <v>4077653.0099999979</v>
      </c>
      <c r="L185" s="65"/>
      <c r="M185" s="30"/>
      <c r="N185" s="26"/>
      <c r="O185" s="26"/>
      <c r="P185" s="26"/>
      <c r="Q185" s="30"/>
      <c r="AI185" s="74"/>
    </row>
    <row r="186" spans="1:35" x14ac:dyDescent="0.55000000000000004">
      <c r="A186" s="64"/>
      <c r="B186" s="45"/>
      <c r="C186" s="70"/>
      <c r="D186" s="61"/>
      <c r="E186" s="60"/>
      <c r="F186" s="60"/>
      <c r="G186" s="60"/>
      <c r="H186" s="51" t="e">
        <f>VLOOKUP(G186,บัญชีโอน!$B:$D,3,FALSE)</f>
        <v>#N/A</v>
      </c>
      <c r="I186" s="59"/>
      <c r="J186" s="59"/>
      <c r="K186" s="59">
        <f t="shared" si="10"/>
        <v>4077653.0099999979</v>
      </c>
      <c r="L186" s="65"/>
      <c r="M186" s="30"/>
      <c r="N186" s="26"/>
      <c r="O186" s="26"/>
      <c r="P186" s="26"/>
      <c r="Q186" s="30"/>
      <c r="AI186" s="74"/>
    </row>
    <row r="187" spans="1:35" x14ac:dyDescent="0.55000000000000004">
      <c r="A187" s="64"/>
      <c r="B187" s="85"/>
      <c r="C187" s="62"/>
      <c r="D187" s="61"/>
      <c r="E187" s="60"/>
      <c r="F187" s="60"/>
      <c r="G187" s="60"/>
      <c r="H187" s="51" t="e">
        <f>VLOOKUP(G187,บัญชีโอน!$B:$D,3,FALSE)</f>
        <v>#N/A</v>
      </c>
      <c r="I187" s="59"/>
      <c r="J187" s="59"/>
      <c r="K187" s="59">
        <f t="shared" si="10"/>
        <v>4077653.0099999979</v>
      </c>
      <c r="L187" s="65"/>
      <c r="M187" s="30"/>
      <c r="N187" s="26"/>
      <c r="O187" s="26"/>
      <c r="P187" s="26"/>
      <c r="Q187" s="30"/>
      <c r="AI187" s="74"/>
    </row>
    <row r="188" spans="1:35" x14ac:dyDescent="0.55000000000000004">
      <c r="A188" s="64"/>
      <c r="B188" s="63"/>
      <c r="C188" s="62"/>
      <c r="D188" s="61"/>
      <c r="E188" s="68"/>
      <c r="F188" s="68"/>
      <c r="G188" s="60"/>
      <c r="H188" s="51" t="e">
        <f>VLOOKUP(G188,บัญชีโอน!$B:$D,3,FALSE)</f>
        <v>#N/A</v>
      </c>
      <c r="I188" s="59"/>
      <c r="J188" s="59"/>
      <c r="K188" s="59">
        <f t="shared" si="10"/>
        <v>4077653.0099999979</v>
      </c>
      <c r="L188" s="65"/>
      <c r="M188" s="58">
        <f>C183</f>
        <v>0</v>
      </c>
      <c r="N188" s="57" t="s">
        <v>2092</v>
      </c>
      <c r="O188" s="57" t="s">
        <v>2091</v>
      </c>
      <c r="P188" s="57" t="s">
        <v>2090</v>
      </c>
      <c r="Q188" s="30">
        <v>24</v>
      </c>
      <c r="AI188" s="74"/>
    </row>
    <row r="189" spans="1:35" ht="24.75" thickBot="1" x14ac:dyDescent="0.6">
      <c r="A189" s="56"/>
      <c r="B189" s="63"/>
      <c r="C189" s="54"/>
      <c r="D189" s="53"/>
      <c r="E189" s="52"/>
      <c r="F189" s="52"/>
      <c r="G189" s="52"/>
      <c r="H189" s="71" t="e">
        <f>VLOOKUP(G189,บัญชีโอน!$B:$D,3,FALSE)</f>
        <v>#N/A</v>
      </c>
      <c r="I189" s="50"/>
      <c r="J189" s="50"/>
      <c r="K189" s="49">
        <f t="shared" si="10"/>
        <v>4077653.0099999979</v>
      </c>
      <c r="L189" s="65"/>
      <c r="M189" s="48" t="s">
        <v>2089</v>
      </c>
      <c r="N189" s="47">
        <f>SUM(I182:I189)</f>
        <v>0</v>
      </c>
      <c r="O189" s="47">
        <f>SUM(J182:J189)</f>
        <v>0</v>
      </c>
      <c r="P189" s="47">
        <f>2000000-O189</f>
        <v>2000000</v>
      </c>
      <c r="Q189" s="30"/>
      <c r="AI189" s="74"/>
    </row>
    <row r="190" spans="1:35" ht="24.75" thickTop="1" x14ac:dyDescent="0.55000000000000004">
      <c r="A190" s="80"/>
      <c r="B190" s="63"/>
      <c r="C190" s="79"/>
      <c r="D190" s="78"/>
      <c r="E190" s="77"/>
      <c r="F190" s="77"/>
      <c r="G190" s="77"/>
      <c r="H190" s="76" t="e">
        <f>VLOOKUP(G190,บัญชีโอน!$B:$D,3,FALSE)</f>
        <v>#N/A</v>
      </c>
      <c r="I190" s="75"/>
      <c r="J190" s="75"/>
      <c r="K190" s="84">
        <f t="shared" si="10"/>
        <v>4077653.0099999979</v>
      </c>
      <c r="L190" s="65"/>
      <c r="M190" s="48"/>
      <c r="N190" s="83"/>
      <c r="O190" s="83"/>
      <c r="P190" s="83"/>
      <c r="Q190" s="30"/>
      <c r="AI190" s="74"/>
    </row>
    <row r="191" spans="1:35" x14ac:dyDescent="0.55000000000000004">
      <c r="A191" s="64"/>
      <c r="B191" s="63"/>
      <c r="C191" s="70"/>
      <c r="D191" s="69"/>
      <c r="E191" s="68"/>
      <c r="F191" s="68"/>
      <c r="G191" s="68"/>
      <c r="H191" s="67" t="e">
        <f>VLOOKUP(G191,บัญชีโอน!$B:$D,3,FALSE)</f>
        <v>#N/A</v>
      </c>
      <c r="I191" s="66"/>
      <c r="J191" s="66"/>
      <c r="K191" s="66">
        <f t="shared" si="10"/>
        <v>4077653.0099999979</v>
      </c>
      <c r="L191" s="65"/>
      <c r="M191" s="48"/>
      <c r="N191" s="81"/>
      <c r="O191" s="81"/>
      <c r="P191" s="81"/>
      <c r="Q191" s="30"/>
      <c r="AI191" s="74"/>
    </row>
    <row r="192" spans="1:35" x14ac:dyDescent="0.55000000000000004">
      <c r="A192" s="64"/>
      <c r="B192" s="63"/>
      <c r="C192" s="70"/>
      <c r="D192" s="69"/>
      <c r="E192" s="68"/>
      <c r="F192" s="68"/>
      <c r="G192" s="68"/>
      <c r="H192" s="67" t="e">
        <f>VLOOKUP(G192,บัญชีโอน!$B:$D,3,FALSE)</f>
        <v>#N/A</v>
      </c>
      <c r="I192" s="66"/>
      <c r="J192" s="66"/>
      <c r="K192" s="66">
        <f t="shared" si="10"/>
        <v>4077653.0099999979</v>
      </c>
      <c r="L192" s="65"/>
      <c r="M192" s="48"/>
      <c r="N192" s="81"/>
      <c r="O192" s="81"/>
      <c r="P192" s="81"/>
      <c r="Q192" s="30"/>
      <c r="AI192" s="74"/>
    </row>
    <row r="193" spans="1:35" x14ac:dyDescent="0.55000000000000004">
      <c r="A193" s="64"/>
      <c r="B193" s="63"/>
      <c r="C193" s="70"/>
      <c r="D193" s="69"/>
      <c r="E193" s="68"/>
      <c r="F193" s="68"/>
      <c r="G193" s="68"/>
      <c r="H193" s="67" t="e">
        <f>VLOOKUP(G193,บัญชีโอน!$B:$D,3,FALSE)</f>
        <v>#N/A</v>
      </c>
      <c r="I193" s="66"/>
      <c r="J193" s="66"/>
      <c r="K193" s="66">
        <f t="shared" si="10"/>
        <v>4077653.0099999979</v>
      </c>
      <c r="L193" s="65"/>
      <c r="M193" s="48"/>
      <c r="N193" s="81"/>
      <c r="O193" s="81"/>
      <c r="P193" s="81"/>
      <c r="Q193" s="30"/>
      <c r="AI193" s="74"/>
    </row>
    <row r="194" spans="1:35" x14ac:dyDescent="0.55000000000000004">
      <c r="A194" s="64"/>
      <c r="B194" s="45"/>
      <c r="C194" s="70"/>
      <c r="D194" s="69"/>
      <c r="E194" s="68"/>
      <c r="F194" s="68"/>
      <c r="G194" s="68"/>
      <c r="H194" s="67" t="e">
        <f>VLOOKUP(G194,บัญชีโอน!$B:$D,3,FALSE)</f>
        <v>#N/A</v>
      </c>
      <c r="I194" s="66"/>
      <c r="J194" s="66"/>
      <c r="K194" s="66">
        <f t="shared" si="10"/>
        <v>4077653.0099999979</v>
      </c>
      <c r="L194" s="65"/>
      <c r="M194" s="48"/>
      <c r="N194" s="81"/>
      <c r="O194" s="81"/>
      <c r="P194" s="81"/>
      <c r="Q194" s="30"/>
      <c r="AI194" s="74"/>
    </row>
    <row r="195" spans="1:35" x14ac:dyDescent="0.55000000000000004">
      <c r="A195" s="64"/>
      <c r="B195" s="82"/>
      <c r="C195" s="70"/>
      <c r="D195" s="69"/>
      <c r="E195" s="68"/>
      <c r="F195" s="68"/>
      <c r="G195" s="68"/>
      <c r="H195" s="67" t="e">
        <f>VLOOKUP(G195,บัญชีโอน!$B:$D,3,FALSE)</f>
        <v>#N/A</v>
      </c>
      <c r="I195" s="66"/>
      <c r="J195" s="66"/>
      <c r="K195" s="66">
        <f t="shared" si="10"/>
        <v>4077653.0099999979</v>
      </c>
      <c r="L195" s="65"/>
      <c r="M195" s="48"/>
      <c r="N195" s="81"/>
      <c r="O195" s="81"/>
      <c r="P195" s="81"/>
      <c r="Q195" s="30"/>
      <c r="AI195" s="74"/>
    </row>
    <row r="196" spans="1:35" x14ac:dyDescent="0.55000000000000004">
      <c r="A196" s="64"/>
      <c r="B196" s="73"/>
      <c r="C196" s="70"/>
      <c r="D196" s="69"/>
      <c r="E196" s="68"/>
      <c r="F196" s="68"/>
      <c r="G196" s="68"/>
      <c r="H196" s="67" t="e">
        <f>VLOOKUP(G196,บัญชีโอน!$B:$D,3,FALSE)</f>
        <v>#N/A</v>
      </c>
      <c r="I196" s="66"/>
      <c r="J196" s="66"/>
      <c r="K196" s="66">
        <f t="shared" si="10"/>
        <v>4077653.0099999979</v>
      </c>
      <c r="L196" s="65"/>
      <c r="M196" s="58">
        <f>C191</f>
        <v>0</v>
      </c>
      <c r="N196" s="57" t="s">
        <v>2092</v>
      </c>
      <c r="O196" s="57" t="s">
        <v>2091</v>
      </c>
      <c r="P196" s="57" t="s">
        <v>2090</v>
      </c>
      <c r="Q196" s="30">
        <v>25</v>
      </c>
      <c r="AI196" s="74"/>
    </row>
    <row r="197" spans="1:35" ht="24.75" thickBot="1" x14ac:dyDescent="0.6">
      <c r="A197" s="64"/>
      <c r="B197" s="63"/>
      <c r="C197" s="70"/>
      <c r="D197" s="69"/>
      <c r="E197" s="68"/>
      <c r="F197" s="68"/>
      <c r="G197" s="68"/>
      <c r="H197" s="67" t="e">
        <f>VLOOKUP(G197,บัญชีโอน!$B:$D,3,FALSE)</f>
        <v>#N/A</v>
      </c>
      <c r="I197" s="66"/>
      <c r="J197" s="66"/>
      <c r="K197" s="49">
        <f t="shared" si="10"/>
        <v>4077653.0099999979</v>
      </c>
      <c r="L197" s="65"/>
      <c r="M197" s="48" t="s">
        <v>2089</v>
      </c>
      <c r="N197" s="47">
        <f>SUM(I190:I197)</f>
        <v>0</v>
      </c>
      <c r="O197" s="47">
        <f>SUM(J190:J197)</f>
        <v>0</v>
      </c>
      <c r="P197" s="47">
        <f>2000000-O197</f>
        <v>2000000</v>
      </c>
      <c r="Q197" s="30"/>
      <c r="AI197" s="74"/>
    </row>
    <row r="198" spans="1:35" ht="24.75" thickTop="1" x14ac:dyDescent="0.55000000000000004">
      <c r="A198" s="80"/>
      <c r="B198" s="63"/>
      <c r="C198" s="79"/>
      <c r="D198" s="78"/>
      <c r="E198" s="77"/>
      <c r="F198" s="77"/>
      <c r="G198" s="77"/>
      <c r="H198" s="76" t="e">
        <f>VLOOKUP(G198,บัญชีโอน!$B:$D,3,FALSE)</f>
        <v>#N/A</v>
      </c>
      <c r="I198" s="75"/>
      <c r="J198" s="75"/>
      <c r="K198" s="75">
        <f t="shared" si="10"/>
        <v>4077653.0099999979</v>
      </c>
      <c r="L198" s="65"/>
      <c r="M198" s="30"/>
      <c r="N198" s="26"/>
      <c r="O198" s="26"/>
      <c r="P198" s="26"/>
      <c r="Q198" s="30"/>
      <c r="AI198" s="74"/>
    </row>
    <row r="199" spans="1:35" x14ac:dyDescent="0.55000000000000004">
      <c r="A199" s="64"/>
      <c r="B199" s="63"/>
      <c r="C199" s="70"/>
      <c r="D199" s="69"/>
      <c r="E199" s="68"/>
      <c r="F199" s="68"/>
      <c r="G199" s="68"/>
      <c r="H199" s="67" t="e">
        <f>VLOOKUP(G199,บัญชีโอน!$B:$D,3,FALSE)</f>
        <v>#N/A</v>
      </c>
      <c r="I199" s="66"/>
      <c r="J199" s="66"/>
      <c r="K199" s="59">
        <f t="shared" si="10"/>
        <v>4077653.0099999979</v>
      </c>
      <c r="L199" s="65"/>
      <c r="M199" s="58">
        <f>C198</f>
        <v>0</v>
      </c>
      <c r="N199" s="57" t="s">
        <v>2092</v>
      </c>
      <c r="O199" s="57" t="s">
        <v>2091</v>
      </c>
      <c r="P199" s="57" t="s">
        <v>2090</v>
      </c>
      <c r="Q199" s="30">
        <v>26</v>
      </c>
      <c r="AI199" s="74"/>
    </row>
    <row r="200" spans="1:35" ht="24.75" thickBot="1" x14ac:dyDescent="0.6">
      <c r="A200" s="56"/>
      <c r="B200" s="63"/>
      <c r="C200" s="54"/>
      <c r="D200" s="53"/>
      <c r="E200" s="52"/>
      <c r="F200" s="52"/>
      <c r="G200" s="52"/>
      <c r="H200" s="71" t="e">
        <f>VLOOKUP(G200,บัญชีโอน!$B:$D,3,FALSE)</f>
        <v>#N/A</v>
      </c>
      <c r="I200" s="50"/>
      <c r="J200" s="50"/>
      <c r="K200" s="49">
        <f t="shared" si="10"/>
        <v>4077653.0099999979</v>
      </c>
      <c r="L200" s="65"/>
      <c r="M200" s="48" t="s">
        <v>2089</v>
      </c>
      <c r="N200" s="47">
        <f>SUM(I198:I200)</f>
        <v>0</v>
      </c>
      <c r="O200" s="47">
        <f>SUM(J198:J200)</f>
        <v>0</v>
      </c>
      <c r="P200" s="47">
        <f>2000000-O200</f>
        <v>2000000</v>
      </c>
      <c r="Q200" s="30"/>
      <c r="AI200" s="74"/>
    </row>
    <row r="201" spans="1:35" ht="24.75" thickTop="1" x14ac:dyDescent="0.55000000000000004">
      <c r="A201" s="64"/>
      <c r="B201" s="63"/>
      <c r="C201" s="70"/>
      <c r="D201" s="69"/>
      <c r="E201" s="68"/>
      <c r="F201" s="68"/>
      <c r="G201" s="68"/>
      <c r="H201" s="67" t="e">
        <f>VLOOKUP(G201,บัญชีโอน!$B:$D,3,FALSE)</f>
        <v>#N/A</v>
      </c>
      <c r="I201" s="66"/>
      <c r="J201" s="66"/>
      <c r="K201" s="66">
        <f t="shared" si="10"/>
        <v>4077653.0099999979</v>
      </c>
      <c r="L201" s="65"/>
      <c r="M201" s="30"/>
      <c r="N201" s="26"/>
      <c r="O201" s="26"/>
      <c r="P201" s="26"/>
      <c r="Q201" s="30"/>
      <c r="AI201" s="74"/>
    </row>
    <row r="202" spans="1:35" x14ac:dyDescent="0.55000000000000004">
      <c r="A202" s="72"/>
      <c r="B202" s="63"/>
      <c r="C202" s="62"/>
      <c r="D202" s="61"/>
      <c r="E202" s="68"/>
      <c r="F202" s="60"/>
      <c r="G202" s="60"/>
      <c r="H202" s="51" t="e">
        <f>VLOOKUP(G202,บัญชีโอน!$B:$D,3,FALSE)</f>
        <v>#N/A</v>
      </c>
      <c r="I202" s="59"/>
      <c r="J202" s="59"/>
      <c r="K202" s="59">
        <f t="shared" si="10"/>
        <v>4077653.0099999979</v>
      </c>
      <c r="L202" s="65"/>
      <c r="M202" s="30"/>
      <c r="N202" s="26"/>
      <c r="O202" s="26"/>
      <c r="P202" s="26"/>
      <c r="Q202" s="30"/>
      <c r="AI202" s="74"/>
    </row>
    <row r="203" spans="1:35" x14ac:dyDescent="0.55000000000000004">
      <c r="A203" s="72"/>
      <c r="B203" s="73"/>
      <c r="C203" s="70"/>
      <c r="D203" s="61"/>
      <c r="E203" s="60"/>
      <c r="F203" s="60"/>
      <c r="G203" s="60"/>
      <c r="H203" s="51" t="e">
        <f>VLOOKUP(G203,บัญชีโอน!$B:$D,3,FALSE)</f>
        <v>#N/A</v>
      </c>
      <c r="I203" s="59"/>
      <c r="J203" s="59"/>
      <c r="K203" s="59">
        <f t="shared" si="10"/>
        <v>4077653.0099999979</v>
      </c>
      <c r="L203" s="65"/>
      <c r="M203" s="30"/>
      <c r="N203" s="26"/>
      <c r="O203" s="26"/>
      <c r="P203" s="26"/>
      <c r="Q203" s="30"/>
      <c r="AI203" s="74"/>
    </row>
    <row r="204" spans="1:35" x14ac:dyDescent="0.55000000000000004">
      <c r="A204" s="72"/>
      <c r="B204" s="63"/>
      <c r="C204" s="62"/>
      <c r="D204" s="61"/>
      <c r="E204" s="60"/>
      <c r="F204" s="60"/>
      <c r="G204" s="60"/>
      <c r="H204" s="51" t="e">
        <f>VLOOKUP(G204,บัญชีโอน!$B:$D,3,FALSE)</f>
        <v>#N/A</v>
      </c>
      <c r="I204" s="59"/>
      <c r="J204" s="59"/>
      <c r="K204" s="59">
        <f t="shared" si="10"/>
        <v>4077653.0099999979</v>
      </c>
      <c r="L204" s="65"/>
      <c r="M204" s="30"/>
      <c r="N204" s="26"/>
      <c r="O204" s="26"/>
      <c r="P204" s="26"/>
      <c r="Q204" s="30"/>
      <c r="AI204" s="74"/>
    </row>
    <row r="205" spans="1:35" x14ac:dyDescent="0.55000000000000004">
      <c r="A205" s="72"/>
      <c r="B205" s="45"/>
      <c r="C205" s="70"/>
      <c r="D205" s="61"/>
      <c r="E205" s="60"/>
      <c r="F205" s="60"/>
      <c r="G205" s="60"/>
      <c r="H205" s="51" t="e">
        <f>VLOOKUP(G205,บัญชีโอน!$B:$D,3,FALSE)</f>
        <v>#N/A</v>
      </c>
      <c r="I205" s="59"/>
      <c r="J205" s="59"/>
      <c r="K205" s="59">
        <f t="shared" si="10"/>
        <v>4077653.0099999979</v>
      </c>
      <c r="L205" s="65"/>
      <c r="M205" s="30"/>
      <c r="N205" s="26"/>
      <c r="O205" s="26"/>
      <c r="P205" s="26"/>
      <c r="Q205" s="30"/>
      <c r="AI205" s="74"/>
    </row>
    <row r="206" spans="1:35" x14ac:dyDescent="0.55000000000000004">
      <c r="A206" s="72"/>
      <c r="B206" s="63"/>
      <c r="C206" s="62"/>
      <c r="D206" s="61"/>
      <c r="E206" s="60"/>
      <c r="F206" s="60"/>
      <c r="G206" s="60"/>
      <c r="H206" s="51" t="e">
        <f>VLOOKUP(G206,บัญชีโอน!$B:$D,3,FALSE)</f>
        <v>#N/A</v>
      </c>
      <c r="I206" s="59"/>
      <c r="J206" s="59"/>
      <c r="K206" s="59">
        <f t="shared" si="10"/>
        <v>4077653.0099999979</v>
      </c>
      <c r="L206" s="65"/>
      <c r="M206" s="30"/>
      <c r="N206" s="26"/>
      <c r="O206" s="26"/>
      <c r="P206" s="26"/>
      <c r="Q206" s="30"/>
      <c r="AI206" s="74"/>
    </row>
    <row r="207" spans="1:35" x14ac:dyDescent="0.55000000000000004">
      <c r="A207" s="72"/>
      <c r="B207" s="55"/>
      <c r="C207" s="70"/>
      <c r="D207" s="61"/>
      <c r="E207" s="60"/>
      <c r="F207" s="60"/>
      <c r="G207" s="60"/>
      <c r="H207" s="51" t="e">
        <f>VLOOKUP(G207,บัญชีโอน!$B:$D,3,FALSE)</f>
        <v>#N/A</v>
      </c>
      <c r="I207" s="59"/>
      <c r="J207" s="59"/>
      <c r="K207" s="59">
        <f t="shared" si="10"/>
        <v>4077653.0099999979</v>
      </c>
      <c r="L207" s="65"/>
      <c r="M207" s="30"/>
      <c r="N207" s="26"/>
      <c r="O207" s="26"/>
      <c r="P207" s="26"/>
      <c r="Q207" s="30"/>
      <c r="AI207" s="74"/>
    </row>
    <row r="208" spans="1:35" x14ac:dyDescent="0.55000000000000004">
      <c r="A208" s="72"/>
      <c r="B208" s="63"/>
      <c r="C208" s="62"/>
      <c r="D208" s="61"/>
      <c r="E208" s="60"/>
      <c r="F208" s="60"/>
      <c r="G208" s="60"/>
      <c r="H208" s="51" t="e">
        <f>VLOOKUP(G208,บัญชีโอน!$B:$D,3,FALSE)</f>
        <v>#N/A</v>
      </c>
      <c r="I208" s="59"/>
      <c r="J208" s="59"/>
      <c r="K208" s="59">
        <f t="shared" si="10"/>
        <v>4077653.0099999979</v>
      </c>
      <c r="L208" s="65"/>
      <c r="M208" s="30"/>
      <c r="N208" s="26"/>
      <c r="O208" s="26"/>
      <c r="P208" s="26"/>
      <c r="Q208" s="30"/>
      <c r="AI208" s="74"/>
    </row>
    <row r="209" spans="1:35" x14ac:dyDescent="0.55000000000000004">
      <c r="A209" s="72"/>
      <c r="B209" s="55"/>
      <c r="C209" s="70"/>
      <c r="D209" s="61"/>
      <c r="E209" s="60"/>
      <c r="F209" s="60"/>
      <c r="G209" s="60"/>
      <c r="H209" s="51" t="e">
        <f>VLOOKUP(G209,บัญชีโอน!$B:$D,3,FALSE)</f>
        <v>#N/A</v>
      </c>
      <c r="I209" s="59"/>
      <c r="J209" s="59"/>
      <c r="K209" s="59">
        <f t="shared" si="10"/>
        <v>4077653.0099999979</v>
      </c>
      <c r="L209" s="65"/>
      <c r="M209" s="30"/>
      <c r="N209" s="26"/>
      <c r="O209" s="26"/>
      <c r="P209" s="26"/>
      <c r="Q209" s="30"/>
      <c r="AI209" s="74"/>
    </row>
    <row r="210" spans="1:35" x14ac:dyDescent="0.55000000000000004">
      <c r="A210" s="72"/>
      <c r="B210" s="63"/>
      <c r="C210" s="62"/>
      <c r="D210" s="61"/>
      <c r="E210" s="60"/>
      <c r="F210" s="60"/>
      <c r="G210" s="60"/>
      <c r="H210" s="51" t="e">
        <f>VLOOKUP(G210,บัญชีโอน!$B:$D,3,FALSE)</f>
        <v>#N/A</v>
      </c>
      <c r="I210" s="59"/>
      <c r="J210" s="59"/>
      <c r="K210" s="59">
        <f t="shared" si="10"/>
        <v>4077653.0099999979</v>
      </c>
      <c r="L210" s="65"/>
      <c r="M210" s="30"/>
      <c r="N210" s="26"/>
      <c r="O210" s="26"/>
      <c r="P210" s="26"/>
      <c r="Q210" s="30"/>
      <c r="AI210" s="74"/>
    </row>
    <row r="211" spans="1:35" x14ac:dyDescent="0.55000000000000004">
      <c r="A211" s="72"/>
      <c r="B211" s="55"/>
      <c r="C211" s="70"/>
      <c r="D211" s="61"/>
      <c r="E211" s="60"/>
      <c r="F211" s="60"/>
      <c r="G211" s="60"/>
      <c r="H211" s="51" t="e">
        <f>VLOOKUP(G211,บัญชีโอน!$B:$D,3,FALSE)</f>
        <v>#N/A</v>
      </c>
      <c r="I211" s="59"/>
      <c r="J211" s="59"/>
      <c r="K211" s="59">
        <f t="shared" si="10"/>
        <v>4077653.0099999979</v>
      </c>
      <c r="L211" s="65"/>
      <c r="M211" s="30"/>
      <c r="N211" s="26"/>
      <c r="O211" s="26"/>
      <c r="P211" s="26"/>
      <c r="Q211" s="30"/>
      <c r="AI211" s="74"/>
    </row>
    <row r="212" spans="1:35" x14ac:dyDescent="0.55000000000000004">
      <c r="A212" s="72"/>
      <c r="B212" s="63"/>
      <c r="C212" s="62"/>
      <c r="D212" s="61"/>
      <c r="E212" s="60"/>
      <c r="F212" s="60"/>
      <c r="G212" s="60"/>
      <c r="H212" s="51" t="e">
        <f>VLOOKUP(G212,บัญชีโอน!$B:$D,3,FALSE)</f>
        <v>#N/A</v>
      </c>
      <c r="I212" s="59"/>
      <c r="J212" s="59"/>
      <c r="K212" s="59">
        <f t="shared" si="10"/>
        <v>4077653.0099999979</v>
      </c>
      <c r="L212" s="65"/>
      <c r="M212" s="30"/>
      <c r="N212" s="26"/>
      <c r="O212" s="26"/>
      <c r="P212" s="26"/>
      <c r="Q212" s="30"/>
    </row>
    <row r="213" spans="1:35" x14ac:dyDescent="0.55000000000000004">
      <c r="A213" s="72"/>
      <c r="B213" s="63"/>
      <c r="C213" s="70"/>
      <c r="D213" s="61"/>
      <c r="E213" s="60"/>
      <c r="F213" s="60"/>
      <c r="G213" s="60"/>
      <c r="H213" s="51" t="e">
        <f>VLOOKUP(G213,บัญชีโอน!$B:$D,3,FALSE)</f>
        <v>#N/A</v>
      </c>
      <c r="I213" s="59"/>
      <c r="J213" s="59"/>
      <c r="K213" s="59">
        <f t="shared" si="10"/>
        <v>4077653.0099999979</v>
      </c>
      <c r="L213" s="65"/>
      <c r="M213" s="30"/>
      <c r="N213" s="26"/>
      <c r="O213" s="26"/>
      <c r="P213" s="26"/>
      <c r="Q213" s="30"/>
    </row>
    <row r="214" spans="1:35" x14ac:dyDescent="0.55000000000000004">
      <c r="A214" s="72"/>
      <c r="B214" s="63"/>
      <c r="C214" s="62"/>
      <c r="D214" s="61"/>
      <c r="E214" s="60"/>
      <c r="F214" s="60"/>
      <c r="G214" s="60"/>
      <c r="H214" s="51" t="e">
        <f>VLOOKUP(G214,บัญชีโอน!$B:$D,3,FALSE)</f>
        <v>#N/A</v>
      </c>
      <c r="I214" s="59"/>
      <c r="J214" s="59"/>
      <c r="K214" s="59">
        <f t="shared" si="10"/>
        <v>4077653.0099999979</v>
      </c>
      <c r="L214" s="65"/>
      <c r="M214" s="30"/>
      <c r="N214" s="26"/>
      <c r="O214" s="26"/>
      <c r="P214" s="26"/>
      <c r="Q214" s="30"/>
    </row>
    <row r="215" spans="1:35" x14ac:dyDescent="0.55000000000000004">
      <c r="A215" s="72"/>
      <c r="B215" s="63"/>
      <c r="C215" s="70"/>
      <c r="D215" s="61"/>
      <c r="E215" s="60"/>
      <c r="F215" s="60"/>
      <c r="G215" s="60"/>
      <c r="H215" s="51" t="e">
        <f>VLOOKUP(G215,บัญชีโอน!$B:$D,3,FALSE)</f>
        <v>#N/A</v>
      </c>
      <c r="I215" s="59"/>
      <c r="J215" s="59"/>
      <c r="K215" s="59">
        <f t="shared" si="10"/>
        <v>4077653.0099999979</v>
      </c>
      <c r="L215" s="65"/>
      <c r="M215" s="30"/>
      <c r="N215" s="26"/>
      <c r="O215" s="26"/>
      <c r="P215" s="26"/>
      <c r="Q215" s="30"/>
    </row>
    <row r="216" spans="1:35" x14ac:dyDescent="0.55000000000000004">
      <c r="A216" s="72"/>
      <c r="B216" s="63"/>
      <c r="C216" s="70"/>
      <c r="D216" s="61"/>
      <c r="E216" s="60"/>
      <c r="F216" s="60"/>
      <c r="G216" s="60"/>
      <c r="H216" s="51" t="e">
        <f>VLOOKUP(G216,บัญชีโอน!$B:$D,3,FALSE)</f>
        <v>#N/A</v>
      </c>
      <c r="I216" s="59"/>
      <c r="J216" s="59"/>
      <c r="K216" s="59">
        <f t="shared" si="10"/>
        <v>4077653.0099999979</v>
      </c>
      <c r="L216" s="65"/>
      <c r="M216" s="30"/>
      <c r="N216" s="26"/>
      <c r="O216" s="26"/>
      <c r="P216" s="26"/>
      <c r="Q216" s="30"/>
    </row>
    <row r="217" spans="1:35" x14ac:dyDescent="0.55000000000000004">
      <c r="A217" s="72"/>
      <c r="B217" s="63"/>
      <c r="C217" s="70"/>
      <c r="D217" s="61"/>
      <c r="E217" s="60"/>
      <c r="F217" s="60"/>
      <c r="G217" s="60"/>
      <c r="H217" s="51" t="e">
        <f>VLOOKUP(G217,บัญชีโอน!$B:$D,3,FALSE)</f>
        <v>#N/A</v>
      </c>
      <c r="I217" s="59"/>
      <c r="J217" s="59"/>
      <c r="K217" s="59">
        <f t="shared" si="10"/>
        <v>4077653.0099999979</v>
      </c>
      <c r="L217" s="65"/>
      <c r="M217" s="30"/>
      <c r="N217" s="26"/>
      <c r="O217" s="26"/>
      <c r="P217" s="26"/>
      <c r="Q217" s="30"/>
    </row>
    <row r="218" spans="1:35" x14ac:dyDescent="0.55000000000000004">
      <c r="A218" s="72"/>
      <c r="B218" s="63"/>
      <c r="C218" s="62"/>
      <c r="D218" s="61"/>
      <c r="E218" s="60"/>
      <c r="F218" s="60"/>
      <c r="G218" s="60"/>
      <c r="H218" s="51" t="e">
        <f>VLOOKUP(G218,บัญชีโอน!$B:$D,3,FALSE)</f>
        <v>#N/A</v>
      </c>
      <c r="I218" s="59"/>
      <c r="J218" s="59"/>
      <c r="K218" s="59">
        <f t="shared" si="10"/>
        <v>4077653.0099999979</v>
      </c>
      <c r="L218" s="65"/>
      <c r="M218" s="58">
        <f>C201</f>
        <v>0</v>
      </c>
      <c r="N218" s="57" t="s">
        <v>2092</v>
      </c>
      <c r="O218" s="57" t="s">
        <v>2091</v>
      </c>
      <c r="P218" s="57" t="s">
        <v>2090</v>
      </c>
      <c r="Q218" s="30">
        <v>27</v>
      </c>
    </row>
    <row r="219" spans="1:35" ht="24.75" thickBot="1" x14ac:dyDescent="0.6">
      <c r="A219" s="56"/>
      <c r="B219" s="63"/>
      <c r="C219" s="54"/>
      <c r="D219" s="53"/>
      <c r="E219" s="52"/>
      <c r="F219" s="52"/>
      <c r="G219" s="52"/>
      <c r="H219" s="71" t="e">
        <f>VLOOKUP(G219,บัญชีโอน!$B:$D,3,FALSE)</f>
        <v>#N/A</v>
      </c>
      <c r="I219" s="50"/>
      <c r="J219" s="50"/>
      <c r="K219" s="49">
        <f t="shared" si="10"/>
        <v>4077653.0099999979</v>
      </c>
      <c r="L219" s="65"/>
      <c r="M219" s="48" t="s">
        <v>2089</v>
      </c>
      <c r="N219" s="47">
        <f>SUM(I201:I219)</f>
        <v>0</v>
      </c>
      <c r="O219" s="47">
        <f>SUM(J201:J219)</f>
        <v>0</v>
      </c>
      <c r="P219" s="47">
        <f>2000000-O219</f>
        <v>2000000</v>
      </c>
      <c r="Q219" s="30"/>
    </row>
    <row r="220" spans="1:35" ht="24.75" thickTop="1" x14ac:dyDescent="0.55000000000000004">
      <c r="A220" s="64"/>
      <c r="B220" s="63"/>
      <c r="C220" s="70"/>
      <c r="D220" s="69"/>
      <c r="E220" s="68"/>
      <c r="F220" s="68"/>
      <c r="G220" s="68"/>
      <c r="H220" s="67" t="e">
        <f>VLOOKUP(G220,บัญชีโอน!$B:$D,3,FALSE)</f>
        <v>#N/A</v>
      </c>
      <c r="I220" s="66"/>
      <c r="J220" s="66"/>
      <c r="K220" s="66">
        <f t="shared" si="10"/>
        <v>4077653.0099999979</v>
      </c>
      <c r="L220" s="65"/>
      <c r="M220" s="30"/>
      <c r="N220" s="26"/>
      <c r="O220" s="26"/>
      <c r="P220" s="26"/>
      <c r="Q220" s="30"/>
    </row>
    <row r="221" spans="1:35" x14ac:dyDescent="0.55000000000000004">
      <c r="A221" s="64"/>
      <c r="B221" s="63"/>
      <c r="C221" s="70"/>
      <c r="D221" s="69"/>
      <c r="E221" s="68"/>
      <c r="F221" s="68"/>
      <c r="G221" s="68"/>
      <c r="H221" s="67" t="e">
        <f>VLOOKUP(G221,บัญชีโอน!$B:$D,3,FALSE)</f>
        <v>#N/A</v>
      </c>
      <c r="I221" s="66"/>
      <c r="J221" s="66"/>
      <c r="K221" s="59">
        <f t="shared" si="10"/>
        <v>4077653.0099999979</v>
      </c>
      <c r="L221" s="65"/>
      <c r="M221" s="30"/>
      <c r="N221" s="26"/>
      <c r="O221" s="26"/>
      <c r="P221" s="26"/>
      <c r="Q221" s="30"/>
    </row>
    <row r="222" spans="1:35" x14ac:dyDescent="0.55000000000000004">
      <c r="A222" s="64"/>
      <c r="B222" s="63"/>
      <c r="C222" s="62"/>
      <c r="D222" s="61"/>
      <c r="E222" s="60"/>
      <c r="F222" s="60"/>
      <c r="G222" s="60"/>
      <c r="H222" s="51" t="e">
        <f>VLOOKUP(G222,บัญชีโอน!$B:$D,3,FALSE)</f>
        <v>#N/A</v>
      </c>
      <c r="I222" s="59"/>
      <c r="J222" s="59"/>
      <c r="K222" s="59">
        <f t="shared" si="10"/>
        <v>4077653.0099999979</v>
      </c>
      <c r="L222" s="26"/>
      <c r="M222" s="58">
        <f>C221</f>
        <v>0</v>
      </c>
      <c r="N222" s="57" t="s">
        <v>2092</v>
      </c>
      <c r="O222" s="57" t="s">
        <v>2091</v>
      </c>
      <c r="P222" s="57" t="s">
        <v>2090</v>
      </c>
      <c r="Q222" s="30">
        <v>28</v>
      </c>
    </row>
    <row r="223" spans="1:35" ht="24.75" thickBot="1" x14ac:dyDescent="0.6">
      <c r="A223" s="56"/>
      <c r="B223" s="55"/>
      <c r="C223" s="54"/>
      <c r="D223" s="53"/>
      <c r="E223" s="52"/>
      <c r="F223" s="52"/>
      <c r="G223" s="52"/>
      <c r="H223" s="51" t="e">
        <f>VLOOKUP(G223,บัญชีโอน!$B:$D,3,FALSE)</f>
        <v>#N/A</v>
      </c>
      <c r="I223" s="50"/>
      <c r="J223" s="50"/>
      <c r="K223" s="49">
        <f t="shared" si="10"/>
        <v>4077653.0099999979</v>
      </c>
      <c r="L223" s="26"/>
      <c r="M223" s="48" t="s">
        <v>2089</v>
      </c>
      <c r="N223" s="47">
        <f>SUM(I220:I223)</f>
        <v>0</v>
      </c>
      <c r="O223" s="47">
        <f>SUM(J220:J223)</f>
        <v>0</v>
      </c>
      <c r="P223" s="47">
        <f>2000000-O223</f>
        <v>2000000</v>
      </c>
      <c r="Q223" s="30"/>
    </row>
    <row r="224" spans="1:35" ht="25.5" thickTop="1" thickBot="1" x14ac:dyDescent="0.6">
      <c r="A224" s="46"/>
      <c r="B224" s="45"/>
      <c r="C224" s="44"/>
      <c r="D224" s="43"/>
      <c r="E224" s="42"/>
      <c r="F224" s="41"/>
      <c r="G224" s="41"/>
      <c r="H224" s="40" t="s">
        <v>2088</v>
      </c>
      <c r="I224" s="39">
        <f>SUM(I4:I223)</f>
        <v>12480724</v>
      </c>
      <c r="J224" s="39">
        <f>SUM(J4:J223)</f>
        <v>11990262.59</v>
      </c>
      <c r="K224" s="38" t="s">
        <v>1826</v>
      </c>
      <c r="L224" s="26"/>
      <c r="M224" s="30"/>
      <c r="N224" s="26"/>
      <c r="O224" s="26"/>
      <c r="P224" s="26"/>
      <c r="Q224" s="30"/>
    </row>
    <row r="225" spans="1:16" ht="24.75" thickTop="1" x14ac:dyDescent="0.55000000000000004">
      <c r="A225" s="37" t="s">
        <v>2087</v>
      </c>
      <c r="B225" s="36"/>
      <c r="C225" s="35" t="s">
        <v>2086</v>
      </c>
      <c r="D225" s="34"/>
      <c r="E225" s="33"/>
      <c r="F225" s="33"/>
      <c r="G225" s="33"/>
      <c r="H225" s="32"/>
      <c r="I225" s="31"/>
      <c r="J225" s="31"/>
      <c r="K225" s="31"/>
      <c r="L225" s="26"/>
      <c r="M225" s="30"/>
      <c r="N225" s="26"/>
      <c r="O225" s="26"/>
      <c r="P225" s="26"/>
    </row>
  </sheetData>
  <mergeCells count="9">
    <mergeCell ref="R17:S17"/>
    <mergeCell ref="Z17:AA17"/>
    <mergeCell ref="V21:W21"/>
    <mergeCell ref="A1:L1"/>
    <mergeCell ref="R1:AB1"/>
    <mergeCell ref="A2:L2"/>
    <mergeCell ref="R2:AB2"/>
    <mergeCell ref="V4:W4"/>
    <mergeCell ref="Z4:AA4"/>
  </mergeCells>
  <pageMargins left="0.59" right="0.23622047244094491" top="0.43307086614173229" bottom="0.74803149606299213" header="0.31496062992125984" footer="0.31496062992125984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786C6-BD72-49DF-B4C7-D475B1DADA20}">
  <dimension ref="A1:Q405"/>
  <sheetViews>
    <sheetView topLeftCell="A164" workbookViewId="0">
      <selection activeCell="N182" sqref="N182"/>
    </sheetView>
  </sheetViews>
  <sheetFormatPr defaultRowHeight="14.25" x14ac:dyDescent="0.2"/>
  <sheetData>
    <row r="1" spans="1:17" ht="21" x14ac:dyDescent="0.45">
      <c r="A1" s="411" t="s">
        <v>0</v>
      </c>
      <c r="B1" s="411" t="s">
        <v>2489</v>
      </c>
      <c r="C1" s="411" t="s">
        <v>2179</v>
      </c>
      <c r="D1" s="412" t="s">
        <v>2490</v>
      </c>
      <c r="E1" s="412" t="s">
        <v>2491</v>
      </c>
      <c r="F1" s="412" t="s">
        <v>2492</v>
      </c>
      <c r="G1" s="412" t="s">
        <v>2493</v>
      </c>
      <c r="H1" s="412" t="s">
        <v>2494</v>
      </c>
      <c r="I1" s="412" t="s">
        <v>2495</v>
      </c>
      <c r="J1" s="412" t="s">
        <v>2496</v>
      </c>
      <c r="K1" s="412" t="s">
        <v>2497</v>
      </c>
      <c r="L1" s="412" t="s">
        <v>2498</v>
      </c>
      <c r="M1" s="412" t="s">
        <v>2499</v>
      </c>
      <c r="N1" s="411"/>
      <c r="O1" s="412" t="s">
        <v>2500</v>
      </c>
      <c r="P1" s="412" t="s">
        <v>2501</v>
      </c>
      <c r="Q1" s="412" t="s">
        <v>2088</v>
      </c>
    </row>
    <row r="2" spans="1:17" ht="21.75" x14ac:dyDescent="0.5">
      <c r="A2" s="413">
        <v>1</v>
      </c>
      <c r="B2" s="413"/>
      <c r="C2" s="414" t="s">
        <v>2502</v>
      </c>
      <c r="D2" s="415"/>
      <c r="E2" s="415"/>
      <c r="F2" s="415"/>
      <c r="G2" s="415"/>
      <c r="H2" s="415"/>
      <c r="I2" s="415"/>
      <c r="J2" s="415"/>
      <c r="K2" s="415"/>
      <c r="L2" s="415"/>
      <c r="M2" s="415"/>
      <c r="N2" s="414"/>
      <c r="O2" s="415"/>
      <c r="P2" s="415"/>
      <c r="Q2" s="415">
        <f t="shared" ref="Q2:Q48" si="0">SUM(D2:P2)</f>
        <v>0</v>
      </c>
    </row>
    <row r="3" spans="1:17" ht="21.75" x14ac:dyDescent="0.5">
      <c r="A3" s="413"/>
      <c r="B3" s="413"/>
      <c r="C3" s="414" t="s">
        <v>2503</v>
      </c>
      <c r="D3" s="415"/>
      <c r="E3" s="415"/>
      <c r="F3" s="415"/>
      <c r="G3" s="415"/>
      <c r="H3" s="415"/>
      <c r="I3" s="415"/>
      <c r="J3" s="415"/>
      <c r="K3" s="415"/>
      <c r="L3" s="415"/>
      <c r="M3" s="415"/>
      <c r="N3" s="414"/>
      <c r="O3" s="415"/>
      <c r="P3" s="415"/>
      <c r="Q3" s="415">
        <f t="shared" si="0"/>
        <v>0</v>
      </c>
    </row>
    <row r="4" spans="1:17" ht="21.75" x14ac:dyDescent="0.5">
      <c r="A4" s="413">
        <v>2</v>
      </c>
      <c r="B4" s="413"/>
      <c r="C4" s="414" t="s">
        <v>2504</v>
      </c>
      <c r="D4" s="415"/>
      <c r="E4" s="415"/>
      <c r="F4" s="415"/>
      <c r="G4" s="415"/>
      <c r="H4" s="415"/>
      <c r="I4" s="415"/>
      <c r="J4" s="415"/>
      <c r="K4" s="415"/>
      <c r="L4" s="415"/>
      <c r="M4" s="415"/>
      <c r="N4" s="414"/>
      <c r="O4" s="415"/>
      <c r="P4" s="415"/>
      <c r="Q4" s="415">
        <f t="shared" si="0"/>
        <v>0</v>
      </c>
    </row>
    <row r="5" spans="1:17" ht="21.75" x14ac:dyDescent="0.5">
      <c r="A5" s="413">
        <v>3</v>
      </c>
      <c r="B5" s="413"/>
      <c r="C5" s="414" t="s">
        <v>2505</v>
      </c>
      <c r="D5" s="415"/>
      <c r="E5" s="415"/>
      <c r="F5" s="415"/>
      <c r="G5" s="415"/>
      <c r="H5" s="415"/>
      <c r="I5" s="415"/>
      <c r="J5" s="415"/>
      <c r="K5" s="415"/>
      <c r="L5" s="415"/>
      <c r="M5" s="415"/>
      <c r="N5" s="414"/>
      <c r="O5" s="415"/>
      <c r="P5" s="415"/>
      <c r="Q5" s="415">
        <f t="shared" si="0"/>
        <v>0</v>
      </c>
    </row>
    <row r="6" spans="1:17" ht="21.75" x14ac:dyDescent="0.5">
      <c r="A6" s="413"/>
      <c r="B6" s="413"/>
      <c r="C6" s="414" t="s">
        <v>2506</v>
      </c>
      <c r="D6" s="415"/>
      <c r="E6" s="415"/>
      <c r="F6" s="415"/>
      <c r="G6" s="415"/>
      <c r="H6" s="415"/>
      <c r="I6" s="415"/>
      <c r="J6" s="415"/>
      <c r="K6" s="415"/>
      <c r="L6" s="415"/>
      <c r="M6" s="415"/>
      <c r="N6" s="414"/>
      <c r="O6" s="415"/>
      <c r="P6" s="415"/>
      <c r="Q6" s="415">
        <f t="shared" si="0"/>
        <v>0</v>
      </c>
    </row>
    <row r="7" spans="1:17" ht="21.75" x14ac:dyDescent="0.5">
      <c r="A7" s="413">
        <v>4</v>
      </c>
      <c r="B7" s="413"/>
      <c r="C7" s="414" t="s">
        <v>2507</v>
      </c>
      <c r="D7" s="415"/>
      <c r="E7" s="415"/>
      <c r="F7" s="415"/>
      <c r="G7" s="415"/>
      <c r="H7" s="415"/>
      <c r="I7" s="415"/>
      <c r="J7" s="415"/>
      <c r="K7" s="415"/>
      <c r="L7" s="415"/>
      <c r="M7" s="415"/>
      <c r="N7" s="414"/>
      <c r="O7" s="415"/>
      <c r="P7" s="415"/>
      <c r="Q7" s="415">
        <f t="shared" si="0"/>
        <v>0</v>
      </c>
    </row>
    <row r="8" spans="1:17" ht="21.75" x14ac:dyDescent="0.5">
      <c r="A8" s="413"/>
      <c r="B8" s="413"/>
      <c r="C8" s="414" t="s">
        <v>2124</v>
      </c>
      <c r="D8" s="415"/>
      <c r="E8" s="415"/>
      <c r="F8" s="415"/>
      <c r="G8" s="415"/>
      <c r="H8" s="415"/>
      <c r="I8" s="415"/>
      <c r="J8" s="415"/>
      <c r="K8" s="415"/>
      <c r="L8" s="415"/>
      <c r="M8" s="415"/>
      <c r="N8" s="414"/>
      <c r="O8" s="415"/>
      <c r="P8" s="415"/>
      <c r="Q8" s="415">
        <f t="shared" si="0"/>
        <v>0</v>
      </c>
    </row>
    <row r="9" spans="1:17" ht="21.75" x14ac:dyDescent="0.5">
      <c r="A9" s="413">
        <v>5</v>
      </c>
      <c r="B9" s="413"/>
      <c r="C9" s="414" t="s">
        <v>2508</v>
      </c>
      <c r="D9" s="415"/>
      <c r="E9" s="415"/>
      <c r="F9" s="415"/>
      <c r="G9" s="415"/>
      <c r="H9" s="415"/>
      <c r="I9" s="415"/>
      <c r="J9" s="415"/>
      <c r="K9" s="415"/>
      <c r="L9" s="415"/>
      <c r="M9" s="415"/>
      <c r="N9" s="414"/>
      <c r="O9" s="415"/>
      <c r="P9" s="415"/>
      <c r="Q9" s="415">
        <f t="shared" si="0"/>
        <v>0</v>
      </c>
    </row>
    <row r="10" spans="1:17" ht="21.75" x14ac:dyDescent="0.5">
      <c r="A10" s="413">
        <v>6</v>
      </c>
      <c r="B10" s="413"/>
      <c r="C10" s="414" t="s">
        <v>2509</v>
      </c>
      <c r="D10" s="415"/>
      <c r="E10" s="415"/>
      <c r="F10" s="415"/>
      <c r="G10" s="415"/>
      <c r="H10" s="415"/>
      <c r="I10" s="415"/>
      <c r="J10" s="415"/>
      <c r="K10" s="415"/>
      <c r="L10" s="415"/>
      <c r="M10" s="415"/>
      <c r="N10" s="414"/>
      <c r="O10" s="415"/>
      <c r="P10" s="415"/>
      <c r="Q10" s="415">
        <f t="shared" si="0"/>
        <v>0</v>
      </c>
    </row>
    <row r="11" spans="1:17" ht="21.75" x14ac:dyDescent="0.5">
      <c r="A11" s="413">
        <v>7</v>
      </c>
      <c r="B11" s="413"/>
      <c r="C11" s="414" t="s">
        <v>2510</v>
      </c>
      <c r="D11" s="415"/>
      <c r="E11" s="415"/>
      <c r="F11" s="415"/>
      <c r="G11" s="415"/>
      <c r="H11" s="415"/>
      <c r="I11" s="415"/>
      <c r="J11" s="415"/>
      <c r="K11" s="415"/>
      <c r="L11" s="415"/>
      <c r="M11" s="415"/>
      <c r="N11" s="414"/>
      <c r="O11" s="415"/>
      <c r="P11" s="415"/>
      <c r="Q11" s="415">
        <f t="shared" si="0"/>
        <v>0</v>
      </c>
    </row>
    <row r="12" spans="1:17" ht="21.75" x14ac:dyDescent="0.5">
      <c r="A12" s="413">
        <v>8</v>
      </c>
      <c r="B12" s="413"/>
      <c r="C12" s="414" t="s">
        <v>2511</v>
      </c>
      <c r="D12" s="415"/>
      <c r="E12" s="415"/>
      <c r="F12" s="415"/>
      <c r="G12" s="415"/>
      <c r="H12" s="415"/>
      <c r="I12" s="415"/>
      <c r="J12" s="415"/>
      <c r="K12" s="415"/>
      <c r="L12" s="415"/>
      <c r="M12" s="415"/>
      <c r="N12" s="414"/>
      <c r="O12" s="415"/>
      <c r="P12" s="415"/>
      <c r="Q12" s="415">
        <f t="shared" si="0"/>
        <v>0</v>
      </c>
    </row>
    <row r="13" spans="1:17" ht="21.75" x14ac:dyDescent="0.5">
      <c r="A13" s="413">
        <v>9</v>
      </c>
      <c r="B13" s="413"/>
      <c r="C13" s="414" t="s">
        <v>15</v>
      </c>
      <c r="D13" s="415"/>
      <c r="E13" s="415"/>
      <c r="F13" s="415"/>
      <c r="G13" s="415"/>
      <c r="H13" s="415"/>
      <c r="I13" s="415"/>
      <c r="J13" s="415"/>
      <c r="K13" s="415"/>
      <c r="L13" s="415"/>
      <c r="M13" s="415"/>
      <c r="N13" s="414"/>
      <c r="O13" s="415"/>
      <c r="P13" s="415"/>
      <c r="Q13" s="415">
        <f t="shared" si="0"/>
        <v>0</v>
      </c>
    </row>
    <row r="14" spans="1:17" ht="21.75" x14ac:dyDescent="0.5">
      <c r="A14" s="413">
        <v>10</v>
      </c>
      <c r="B14" s="413"/>
      <c r="C14" s="414" t="s">
        <v>2512</v>
      </c>
      <c r="D14" s="415"/>
      <c r="E14" s="415"/>
      <c r="F14" s="415"/>
      <c r="G14" s="415"/>
      <c r="H14" s="415"/>
      <c r="I14" s="415"/>
      <c r="J14" s="415"/>
      <c r="K14" s="415"/>
      <c r="L14" s="415"/>
      <c r="M14" s="415"/>
      <c r="N14" s="414"/>
      <c r="O14" s="415"/>
      <c r="P14" s="415"/>
      <c r="Q14" s="415">
        <f t="shared" si="0"/>
        <v>0</v>
      </c>
    </row>
    <row r="15" spans="1:17" ht="21.75" x14ac:dyDescent="0.5">
      <c r="A15" s="413">
        <v>11</v>
      </c>
      <c r="B15" s="413"/>
      <c r="C15" s="414" t="s">
        <v>2513</v>
      </c>
      <c r="D15" s="415"/>
      <c r="E15" s="415"/>
      <c r="F15" s="415"/>
      <c r="G15" s="415"/>
      <c r="H15" s="415"/>
      <c r="I15" s="415"/>
      <c r="J15" s="415"/>
      <c r="K15" s="415"/>
      <c r="L15" s="415"/>
      <c r="M15" s="415"/>
      <c r="N15" s="414"/>
      <c r="O15" s="415"/>
      <c r="P15" s="415"/>
      <c r="Q15" s="415">
        <f t="shared" si="0"/>
        <v>0</v>
      </c>
    </row>
    <row r="16" spans="1:17" ht="21.75" x14ac:dyDescent="0.5">
      <c r="A16" s="413">
        <v>12</v>
      </c>
      <c r="B16" s="413"/>
      <c r="C16" s="414" t="s">
        <v>18</v>
      </c>
      <c r="D16" s="415"/>
      <c r="E16" s="415"/>
      <c r="F16" s="415"/>
      <c r="G16" s="415"/>
      <c r="H16" s="415"/>
      <c r="I16" s="415"/>
      <c r="J16" s="415"/>
      <c r="K16" s="415"/>
      <c r="L16" s="415"/>
      <c r="M16" s="415"/>
      <c r="N16" s="414"/>
      <c r="O16" s="415"/>
      <c r="P16" s="415"/>
      <c r="Q16" s="415">
        <f t="shared" si="0"/>
        <v>0</v>
      </c>
    </row>
    <row r="17" spans="1:17" ht="21.75" x14ac:dyDescent="0.5">
      <c r="A17" s="413">
        <v>13</v>
      </c>
      <c r="B17" s="413"/>
      <c r="C17" s="414" t="s">
        <v>2514</v>
      </c>
      <c r="D17" s="415"/>
      <c r="E17" s="415"/>
      <c r="F17" s="415"/>
      <c r="G17" s="415"/>
      <c r="H17" s="415"/>
      <c r="I17" s="415"/>
      <c r="J17" s="415"/>
      <c r="K17" s="415"/>
      <c r="L17" s="415"/>
      <c r="M17" s="415"/>
      <c r="N17" s="414"/>
      <c r="O17" s="415"/>
      <c r="P17" s="415"/>
      <c r="Q17" s="415">
        <f t="shared" si="0"/>
        <v>0</v>
      </c>
    </row>
    <row r="18" spans="1:17" ht="21.75" x14ac:dyDescent="0.5">
      <c r="A18" s="413">
        <v>14</v>
      </c>
      <c r="B18" s="413"/>
      <c r="C18" s="414" t="s">
        <v>2515</v>
      </c>
      <c r="D18" s="415"/>
      <c r="E18" s="415"/>
      <c r="F18" s="415"/>
      <c r="G18" s="415"/>
      <c r="H18" s="415"/>
      <c r="I18" s="415"/>
      <c r="J18" s="415"/>
      <c r="K18" s="415"/>
      <c r="L18" s="415"/>
      <c r="M18" s="415"/>
      <c r="N18" s="414"/>
      <c r="O18" s="415"/>
      <c r="P18" s="415"/>
      <c r="Q18" s="415">
        <f t="shared" si="0"/>
        <v>0</v>
      </c>
    </row>
    <row r="19" spans="1:17" ht="21.75" x14ac:dyDescent="0.5">
      <c r="A19" s="413">
        <v>15</v>
      </c>
      <c r="B19" s="413"/>
      <c r="C19" s="414" t="s">
        <v>2516</v>
      </c>
      <c r="D19" s="415"/>
      <c r="E19" s="415"/>
      <c r="F19" s="415"/>
      <c r="G19" s="415"/>
      <c r="H19" s="415"/>
      <c r="I19" s="415"/>
      <c r="J19" s="415"/>
      <c r="K19" s="415"/>
      <c r="L19" s="415"/>
      <c r="M19" s="415"/>
      <c r="N19" s="414"/>
      <c r="O19" s="415"/>
      <c r="P19" s="415"/>
      <c r="Q19" s="415">
        <f t="shared" si="0"/>
        <v>0</v>
      </c>
    </row>
    <row r="20" spans="1:17" ht="21.75" x14ac:dyDescent="0.5">
      <c r="A20" s="413">
        <v>16</v>
      </c>
      <c r="B20" s="413"/>
      <c r="C20" s="414" t="s">
        <v>2517</v>
      </c>
      <c r="D20" s="415"/>
      <c r="E20" s="415"/>
      <c r="F20" s="415"/>
      <c r="G20" s="415"/>
      <c r="H20" s="415"/>
      <c r="I20" s="415"/>
      <c r="J20" s="415"/>
      <c r="K20" s="415"/>
      <c r="L20" s="415"/>
      <c r="M20" s="415"/>
      <c r="N20" s="414"/>
      <c r="O20" s="415"/>
      <c r="P20" s="415"/>
      <c r="Q20" s="415">
        <f t="shared" si="0"/>
        <v>0</v>
      </c>
    </row>
    <row r="21" spans="1:17" ht="21.75" x14ac:dyDescent="0.5">
      <c r="A21" s="413">
        <v>17</v>
      </c>
      <c r="B21" s="413"/>
      <c r="C21" s="416" t="s">
        <v>2518</v>
      </c>
      <c r="D21" s="415"/>
      <c r="E21" s="417"/>
      <c r="F21" s="417"/>
      <c r="G21" s="417"/>
      <c r="H21" s="415"/>
      <c r="I21" s="417"/>
      <c r="J21" s="415"/>
      <c r="K21" s="415"/>
      <c r="L21" s="417"/>
      <c r="M21" s="415"/>
      <c r="N21" s="414"/>
      <c r="O21" s="417"/>
      <c r="P21" s="415"/>
      <c r="Q21" s="415">
        <f t="shared" si="0"/>
        <v>0</v>
      </c>
    </row>
    <row r="22" spans="1:17" ht="21.75" x14ac:dyDescent="0.5">
      <c r="A22" s="413">
        <v>18</v>
      </c>
      <c r="B22" s="413"/>
      <c r="C22" s="416" t="s">
        <v>2519</v>
      </c>
      <c r="D22" s="415"/>
      <c r="E22" s="417"/>
      <c r="F22" s="417"/>
      <c r="G22" s="417"/>
      <c r="H22" s="415"/>
      <c r="I22" s="417"/>
      <c r="J22" s="415"/>
      <c r="K22" s="417"/>
      <c r="L22" s="417"/>
      <c r="M22" s="415"/>
      <c r="N22" s="414"/>
      <c r="O22" s="417"/>
      <c r="P22" s="417"/>
      <c r="Q22" s="415">
        <f t="shared" si="0"/>
        <v>0</v>
      </c>
    </row>
    <row r="23" spans="1:17" ht="21.75" x14ac:dyDescent="0.5">
      <c r="A23" s="413">
        <v>19</v>
      </c>
      <c r="B23" s="413" t="s">
        <v>251</v>
      </c>
      <c r="C23" s="416" t="s">
        <v>428</v>
      </c>
      <c r="D23" s="415"/>
      <c r="E23" s="415"/>
      <c r="F23" s="415"/>
      <c r="G23" s="415"/>
      <c r="H23" s="415"/>
      <c r="I23" s="415"/>
      <c r="J23" s="417"/>
      <c r="K23" s="415"/>
      <c r="L23" s="417"/>
      <c r="M23" s="415"/>
      <c r="N23" s="414"/>
      <c r="O23" s="415"/>
      <c r="P23" s="417"/>
      <c r="Q23" s="415">
        <f t="shared" si="0"/>
        <v>0</v>
      </c>
    </row>
    <row r="24" spans="1:17" ht="21.75" x14ac:dyDescent="0.5">
      <c r="A24" s="413">
        <v>20</v>
      </c>
      <c r="B24" s="413"/>
      <c r="C24" s="416" t="s">
        <v>2520</v>
      </c>
      <c r="D24" s="415"/>
      <c r="E24" s="415"/>
      <c r="F24" s="415"/>
      <c r="G24" s="415"/>
      <c r="H24" s="415"/>
      <c r="I24" s="415"/>
      <c r="J24" s="417"/>
      <c r="K24" s="415"/>
      <c r="L24" s="417"/>
      <c r="M24" s="415"/>
      <c r="N24" s="414"/>
      <c r="O24" s="415"/>
      <c r="P24" s="417"/>
      <c r="Q24" s="415">
        <f t="shared" si="0"/>
        <v>0</v>
      </c>
    </row>
    <row r="25" spans="1:17" ht="21.75" x14ac:dyDescent="0.5">
      <c r="A25" s="413">
        <v>21</v>
      </c>
      <c r="B25" s="413"/>
      <c r="C25" s="416" t="s">
        <v>2521</v>
      </c>
      <c r="D25" s="415"/>
      <c r="E25" s="415"/>
      <c r="F25" s="415"/>
      <c r="G25" s="415"/>
      <c r="H25" s="415"/>
      <c r="I25" s="415"/>
      <c r="J25" s="415"/>
      <c r="K25" s="415"/>
      <c r="L25" s="417"/>
      <c r="M25" s="415"/>
      <c r="N25" s="414"/>
      <c r="O25" s="415"/>
      <c r="P25" s="417"/>
      <c r="Q25" s="415">
        <f t="shared" si="0"/>
        <v>0</v>
      </c>
    </row>
    <row r="26" spans="1:17" ht="21.75" x14ac:dyDescent="0.5">
      <c r="A26" s="413">
        <v>22</v>
      </c>
      <c r="B26" s="413"/>
      <c r="C26" s="416" t="s">
        <v>2522</v>
      </c>
      <c r="D26" s="415"/>
      <c r="E26" s="415"/>
      <c r="F26" s="415"/>
      <c r="G26" s="415"/>
      <c r="H26" s="415"/>
      <c r="I26" s="415"/>
      <c r="J26" s="415"/>
      <c r="K26" s="415"/>
      <c r="L26" s="417"/>
      <c r="M26" s="415"/>
      <c r="N26" s="414"/>
      <c r="O26" s="415"/>
      <c r="P26" s="417"/>
      <c r="Q26" s="415">
        <f t="shared" si="0"/>
        <v>0</v>
      </c>
    </row>
    <row r="27" spans="1:17" ht="21.75" x14ac:dyDescent="0.5">
      <c r="A27" s="413">
        <v>23</v>
      </c>
      <c r="B27" s="413"/>
      <c r="C27" s="416" t="s">
        <v>2523</v>
      </c>
      <c r="D27" s="415"/>
      <c r="E27" s="415"/>
      <c r="F27" s="415"/>
      <c r="G27" s="415"/>
      <c r="H27" s="415"/>
      <c r="I27" s="415"/>
      <c r="J27" s="415"/>
      <c r="K27" s="415"/>
      <c r="L27" s="417"/>
      <c r="M27" s="415"/>
      <c r="N27" s="414"/>
      <c r="O27" s="415"/>
      <c r="P27" s="415"/>
      <c r="Q27" s="415">
        <f t="shared" si="0"/>
        <v>0</v>
      </c>
    </row>
    <row r="28" spans="1:17" ht="21.75" x14ac:dyDescent="0.5">
      <c r="A28" s="413">
        <v>24</v>
      </c>
      <c r="B28" s="413"/>
      <c r="C28" s="416" t="s">
        <v>2193</v>
      </c>
      <c r="D28" s="417"/>
      <c r="E28" s="415"/>
      <c r="F28" s="415"/>
      <c r="G28" s="415"/>
      <c r="H28" s="415"/>
      <c r="I28" s="415"/>
      <c r="J28" s="415"/>
      <c r="K28" s="415"/>
      <c r="L28" s="417"/>
      <c r="M28" s="415"/>
      <c r="N28" s="414"/>
      <c r="O28" s="415"/>
      <c r="P28" s="417"/>
      <c r="Q28" s="415">
        <f t="shared" si="0"/>
        <v>0</v>
      </c>
    </row>
    <row r="29" spans="1:17" ht="21.75" x14ac:dyDescent="0.5">
      <c r="A29" s="413">
        <v>25</v>
      </c>
      <c r="B29" s="413"/>
      <c r="C29" s="416" t="s">
        <v>2137</v>
      </c>
      <c r="D29" s="417"/>
      <c r="E29" s="415"/>
      <c r="F29" s="415"/>
      <c r="G29" s="415"/>
      <c r="H29" s="415"/>
      <c r="I29" s="415"/>
      <c r="J29" s="415"/>
      <c r="K29" s="415"/>
      <c r="L29" s="417"/>
      <c r="M29" s="415"/>
      <c r="N29" s="414"/>
      <c r="O29" s="415"/>
      <c r="P29" s="415"/>
      <c r="Q29" s="415">
        <f t="shared" si="0"/>
        <v>0</v>
      </c>
    </row>
    <row r="30" spans="1:17" ht="21.75" x14ac:dyDescent="0.5">
      <c r="A30" s="413">
        <v>26</v>
      </c>
      <c r="B30" s="413" t="s">
        <v>2132</v>
      </c>
      <c r="C30" s="416" t="s">
        <v>2134</v>
      </c>
      <c r="D30" s="415"/>
      <c r="E30" s="415"/>
      <c r="F30" s="415"/>
      <c r="G30" s="415"/>
      <c r="H30" s="415"/>
      <c r="I30" s="417"/>
      <c r="J30" s="417"/>
      <c r="K30" s="415"/>
      <c r="L30" s="417"/>
      <c r="M30" s="415"/>
      <c r="N30" s="414"/>
      <c r="O30" s="415"/>
      <c r="P30" s="415"/>
      <c r="Q30" s="415">
        <f t="shared" si="0"/>
        <v>0</v>
      </c>
    </row>
    <row r="31" spans="1:17" ht="21.75" x14ac:dyDescent="0.5">
      <c r="A31" s="413">
        <v>27</v>
      </c>
      <c r="B31" s="413"/>
      <c r="C31" s="416" t="s">
        <v>113</v>
      </c>
      <c r="D31" s="417"/>
      <c r="E31" s="415"/>
      <c r="F31" s="415"/>
      <c r="G31" s="415"/>
      <c r="H31" s="415"/>
      <c r="I31" s="417"/>
      <c r="J31" s="415"/>
      <c r="K31" s="415"/>
      <c r="L31" s="417"/>
      <c r="M31" s="415"/>
      <c r="N31" s="414"/>
      <c r="O31" s="415"/>
      <c r="P31" s="417"/>
      <c r="Q31" s="415">
        <f t="shared" si="0"/>
        <v>0</v>
      </c>
    </row>
    <row r="32" spans="1:17" ht="21.75" x14ac:dyDescent="0.5">
      <c r="A32" s="413">
        <v>28</v>
      </c>
      <c r="B32" s="413"/>
      <c r="C32" s="416" t="s">
        <v>2524</v>
      </c>
      <c r="D32" s="417"/>
      <c r="E32" s="415"/>
      <c r="F32" s="415"/>
      <c r="G32" s="415"/>
      <c r="H32" s="415"/>
      <c r="I32" s="417"/>
      <c r="J32" s="415"/>
      <c r="K32" s="415"/>
      <c r="L32" s="417"/>
      <c r="M32" s="415"/>
      <c r="N32" s="414"/>
      <c r="O32" s="415"/>
      <c r="P32" s="417"/>
      <c r="Q32" s="415">
        <f t="shared" si="0"/>
        <v>0</v>
      </c>
    </row>
    <row r="33" spans="1:17" ht="21.75" x14ac:dyDescent="0.5">
      <c r="A33" s="413">
        <v>29</v>
      </c>
      <c r="B33" s="413"/>
      <c r="C33" s="416" t="s">
        <v>2525</v>
      </c>
      <c r="D33" s="417"/>
      <c r="E33" s="415"/>
      <c r="F33" s="415"/>
      <c r="G33" s="415"/>
      <c r="H33" s="415"/>
      <c r="I33" s="417"/>
      <c r="J33" s="415"/>
      <c r="K33" s="415"/>
      <c r="L33" s="417"/>
      <c r="M33" s="415"/>
      <c r="N33" s="414"/>
      <c r="O33" s="415"/>
      <c r="P33" s="417"/>
      <c r="Q33" s="415">
        <f t="shared" si="0"/>
        <v>0</v>
      </c>
    </row>
    <row r="34" spans="1:17" ht="21.75" x14ac:dyDescent="0.5">
      <c r="A34" s="413">
        <v>30</v>
      </c>
      <c r="B34" s="413"/>
      <c r="C34" s="416" t="s">
        <v>2526</v>
      </c>
      <c r="D34" s="417"/>
      <c r="E34" s="415"/>
      <c r="F34" s="415"/>
      <c r="G34" s="415"/>
      <c r="H34" s="415"/>
      <c r="I34" s="417"/>
      <c r="J34" s="415"/>
      <c r="K34" s="415"/>
      <c r="L34" s="417"/>
      <c r="M34" s="415"/>
      <c r="N34" s="414"/>
      <c r="O34" s="415"/>
      <c r="P34" s="417"/>
      <c r="Q34" s="415">
        <f t="shared" si="0"/>
        <v>0</v>
      </c>
    </row>
    <row r="35" spans="1:17" ht="21.75" x14ac:dyDescent="0.5">
      <c r="A35" s="413">
        <v>31</v>
      </c>
      <c r="B35" s="413"/>
      <c r="C35" s="416" t="s">
        <v>2527</v>
      </c>
      <c r="D35" s="417"/>
      <c r="E35" s="415"/>
      <c r="F35" s="415"/>
      <c r="G35" s="415"/>
      <c r="H35" s="415"/>
      <c r="I35" s="417"/>
      <c r="J35" s="415"/>
      <c r="K35" s="415"/>
      <c r="L35" s="417"/>
      <c r="M35" s="415"/>
      <c r="N35" s="414"/>
      <c r="O35" s="415"/>
      <c r="P35" s="417"/>
      <c r="Q35" s="415">
        <f t="shared" si="0"/>
        <v>0</v>
      </c>
    </row>
    <row r="36" spans="1:17" ht="21.75" x14ac:dyDescent="0.5">
      <c r="A36" s="413">
        <v>32</v>
      </c>
      <c r="B36" s="413"/>
      <c r="C36" s="416" t="s">
        <v>2528</v>
      </c>
      <c r="D36" s="417"/>
      <c r="E36" s="415"/>
      <c r="F36" s="415"/>
      <c r="G36" s="415"/>
      <c r="H36" s="415"/>
      <c r="I36" s="417"/>
      <c r="J36" s="415"/>
      <c r="K36" s="415"/>
      <c r="L36" s="417"/>
      <c r="M36" s="415"/>
      <c r="N36" s="414"/>
      <c r="O36" s="415"/>
      <c r="P36" s="417"/>
      <c r="Q36" s="415">
        <f t="shared" si="0"/>
        <v>0</v>
      </c>
    </row>
    <row r="37" spans="1:17" ht="21.75" x14ac:dyDescent="0.5">
      <c r="A37" s="413">
        <v>33</v>
      </c>
      <c r="B37" s="413"/>
      <c r="C37" s="416" t="s">
        <v>2529</v>
      </c>
      <c r="D37" s="417"/>
      <c r="E37" s="415"/>
      <c r="F37" s="415"/>
      <c r="G37" s="415"/>
      <c r="H37" s="415"/>
      <c r="I37" s="417"/>
      <c r="J37" s="417"/>
      <c r="K37" s="415"/>
      <c r="L37" s="417"/>
      <c r="M37" s="415"/>
      <c r="N37" s="414"/>
      <c r="O37" s="415"/>
      <c r="P37" s="417"/>
      <c r="Q37" s="415">
        <f t="shared" si="0"/>
        <v>0</v>
      </c>
    </row>
    <row r="38" spans="1:17" ht="21.75" x14ac:dyDescent="0.5">
      <c r="A38" s="413">
        <v>34</v>
      </c>
      <c r="B38" s="413"/>
      <c r="C38" s="416" t="s">
        <v>2530</v>
      </c>
      <c r="D38" s="417"/>
      <c r="E38" s="415"/>
      <c r="F38" s="415"/>
      <c r="G38" s="415"/>
      <c r="H38" s="415"/>
      <c r="I38" s="417"/>
      <c r="J38" s="415"/>
      <c r="K38" s="415"/>
      <c r="L38" s="417"/>
      <c r="M38" s="415"/>
      <c r="N38" s="414"/>
      <c r="O38" s="415"/>
      <c r="P38" s="417"/>
      <c r="Q38" s="415">
        <f t="shared" si="0"/>
        <v>0</v>
      </c>
    </row>
    <row r="39" spans="1:17" ht="21.75" x14ac:dyDescent="0.5">
      <c r="A39" s="413">
        <v>35</v>
      </c>
      <c r="B39" s="413"/>
      <c r="C39" s="416" t="s">
        <v>128</v>
      </c>
      <c r="D39" s="417"/>
      <c r="E39" s="415"/>
      <c r="F39" s="415"/>
      <c r="G39" s="415"/>
      <c r="H39" s="415"/>
      <c r="I39" s="415"/>
      <c r="J39" s="415"/>
      <c r="K39" s="415"/>
      <c r="L39" s="417"/>
      <c r="M39" s="415"/>
      <c r="N39" s="414"/>
      <c r="O39" s="415"/>
      <c r="P39" s="417"/>
      <c r="Q39" s="415">
        <f t="shared" si="0"/>
        <v>0</v>
      </c>
    </row>
    <row r="40" spans="1:17" ht="21.75" x14ac:dyDescent="0.5">
      <c r="A40" s="413">
        <v>36</v>
      </c>
      <c r="B40" s="413"/>
      <c r="C40" s="416" t="s">
        <v>2531</v>
      </c>
      <c r="D40" s="417"/>
      <c r="E40" s="417"/>
      <c r="F40" s="415"/>
      <c r="G40" s="415"/>
      <c r="H40" s="415"/>
      <c r="I40" s="415"/>
      <c r="J40" s="415"/>
      <c r="K40" s="415"/>
      <c r="L40" s="417"/>
      <c r="M40" s="415"/>
      <c r="N40" s="414"/>
      <c r="O40" s="415"/>
      <c r="P40" s="417"/>
      <c r="Q40" s="415">
        <f t="shared" si="0"/>
        <v>0</v>
      </c>
    </row>
    <row r="41" spans="1:17" ht="21.75" x14ac:dyDescent="0.5">
      <c r="A41" s="413">
        <v>37</v>
      </c>
      <c r="B41" s="413"/>
      <c r="C41" s="416" t="s">
        <v>2532</v>
      </c>
      <c r="D41" s="417"/>
      <c r="E41" s="417"/>
      <c r="F41" s="415"/>
      <c r="G41" s="415"/>
      <c r="H41" s="415"/>
      <c r="I41" s="415"/>
      <c r="J41" s="415"/>
      <c r="K41" s="415"/>
      <c r="L41" s="417"/>
      <c r="M41" s="415"/>
      <c r="N41" s="414"/>
      <c r="O41" s="415"/>
      <c r="P41" s="417"/>
      <c r="Q41" s="415">
        <f t="shared" si="0"/>
        <v>0</v>
      </c>
    </row>
    <row r="42" spans="1:17" ht="21.75" x14ac:dyDescent="0.5">
      <c r="A42" s="413">
        <v>38</v>
      </c>
      <c r="B42" s="413"/>
      <c r="C42" s="416" t="s">
        <v>2533</v>
      </c>
      <c r="D42" s="417"/>
      <c r="E42" s="417"/>
      <c r="F42" s="415"/>
      <c r="G42" s="415"/>
      <c r="H42" s="415"/>
      <c r="I42" s="415"/>
      <c r="J42" s="415"/>
      <c r="K42" s="415"/>
      <c r="L42" s="417"/>
      <c r="M42" s="415"/>
      <c r="N42" s="414"/>
      <c r="O42" s="415"/>
      <c r="P42" s="417"/>
      <c r="Q42" s="415">
        <f t="shared" si="0"/>
        <v>0</v>
      </c>
    </row>
    <row r="43" spans="1:17" ht="21.75" x14ac:dyDescent="0.5">
      <c r="A43" s="413">
        <v>39</v>
      </c>
      <c r="B43" s="413"/>
      <c r="C43" s="416" t="s">
        <v>2534</v>
      </c>
      <c r="D43" s="417"/>
      <c r="E43" s="417"/>
      <c r="F43" s="415"/>
      <c r="G43" s="415"/>
      <c r="H43" s="415"/>
      <c r="I43" s="415"/>
      <c r="J43" s="415"/>
      <c r="K43" s="415"/>
      <c r="L43" s="417"/>
      <c r="M43" s="415"/>
      <c r="N43" s="414"/>
      <c r="O43" s="415"/>
      <c r="P43" s="417"/>
      <c r="Q43" s="415">
        <f t="shared" si="0"/>
        <v>0</v>
      </c>
    </row>
    <row r="44" spans="1:17" ht="21.75" x14ac:dyDescent="0.5">
      <c r="A44" s="413">
        <v>40</v>
      </c>
      <c r="B44" s="413"/>
      <c r="C44" s="416" t="s">
        <v>2535</v>
      </c>
      <c r="D44" s="417"/>
      <c r="E44" s="417"/>
      <c r="F44" s="415"/>
      <c r="G44" s="415"/>
      <c r="H44" s="415"/>
      <c r="I44" s="415"/>
      <c r="J44" s="415"/>
      <c r="K44" s="415"/>
      <c r="L44" s="417"/>
      <c r="M44" s="415"/>
      <c r="N44" s="414"/>
      <c r="O44" s="415"/>
      <c r="P44" s="417"/>
      <c r="Q44" s="415">
        <f t="shared" si="0"/>
        <v>0</v>
      </c>
    </row>
    <row r="45" spans="1:17" ht="21.75" x14ac:dyDescent="0.5">
      <c r="A45" s="413">
        <v>41</v>
      </c>
      <c r="B45" s="413" t="s">
        <v>2140</v>
      </c>
      <c r="C45" s="414" t="s">
        <v>2536</v>
      </c>
      <c r="D45" s="417"/>
      <c r="E45" s="417"/>
      <c r="F45" s="415"/>
      <c r="G45" s="415"/>
      <c r="H45" s="415"/>
      <c r="I45" s="417"/>
      <c r="J45" s="417"/>
      <c r="K45" s="415"/>
      <c r="L45" s="417"/>
      <c r="M45" s="415"/>
      <c r="N45" s="414"/>
      <c r="O45" s="415"/>
      <c r="P45" s="417"/>
      <c r="Q45" s="415">
        <f t="shared" si="0"/>
        <v>0</v>
      </c>
    </row>
    <row r="46" spans="1:17" ht="21.75" x14ac:dyDescent="0.5">
      <c r="A46" s="413">
        <v>42</v>
      </c>
      <c r="B46" s="413" t="s">
        <v>2140</v>
      </c>
      <c r="C46" s="416" t="s">
        <v>2150</v>
      </c>
      <c r="D46" s="417"/>
      <c r="E46" s="417"/>
      <c r="F46" s="415"/>
      <c r="G46" s="415"/>
      <c r="H46" s="415"/>
      <c r="I46" s="417"/>
      <c r="J46" s="415"/>
      <c r="K46" s="415"/>
      <c r="L46" s="417"/>
      <c r="M46" s="415"/>
      <c r="N46" s="414"/>
      <c r="O46" s="415"/>
      <c r="P46" s="417"/>
      <c r="Q46" s="415">
        <f t="shared" si="0"/>
        <v>0</v>
      </c>
    </row>
    <row r="47" spans="1:17" ht="21.75" x14ac:dyDescent="0.5">
      <c r="A47" s="413">
        <v>43</v>
      </c>
      <c r="B47" s="413" t="s">
        <v>2140</v>
      </c>
      <c r="C47" s="416" t="s">
        <v>2537</v>
      </c>
      <c r="D47" s="417"/>
      <c r="E47" s="417"/>
      <c r="F47" s="415"/>
      <c r="G47" s="415"/>
      <c r="H47" s="415"/>
      <c r="I47" s="417"/>
      <c r="J47" s="415"/>
      <c r="K47" s="415"/>
      <c r="L47" s="417"/>
      <c r="M47" s="415"/>
      <c r="N47" s="414"/>
      <c r="O47" s="415"/>
      <c r="P47" s="417"/>
      <c r="Q47" s="415">
        <f t="shared" si="0"/>
        <v>0</v>
      </c>
    </row>
    <row r="48" spans="1:17" ht="21.75" x14ac:dyDescent="0.5">
      <c r="A48" s="413">
        <v>44</v>
      </c>
      <c r="B48" s="413" t="s">
        <v>2140</v>
      </c>
      <c r="C48" s="416" t="s">
        <v>2148</v>
      </c>
      <c r="D48" s="417"/>
      <c r="E48" s="417"/>
      <c r="F48" s="415"/>
      <c r="G48" s="417"/>
      <c r="H48" s="415"/>
      <c r="I48" s="415"/>
      <c r="J48" s="415"/>
      <c r="K48" s="415"/>
      <c r="L48" s="417"/>
      <c r="M48" s="415"/>
      <c r="N48" s="414"/>
      <c r="O48" s="415"/>
      <c r="P48" s="417"/>
      <c r="Q48" s="415">
        <f t="shared" si="0"/>
        <v>0</v>
      </c>
    </row>
    <row r="49" spans="1:17" ht="21.75" x14ac:dyDescent="0.5">
      <c r="A49" s="413"/>
      <c r="B49" s="413"/>
      <c r="C49" s="416" t="s">
        <v>2538</v>
      </c>
      <c r="D49" s="417"/>
      <c r="E49" s="417"/>
      <c r="F49" s="415"/>
      <c r="G49" s="417"/>
      <c r="H49" s="415"/>
      <c r="I49" s="415"/>
      <c r="J49" s="415"/>
      <c r="K49" s="415"/>
      <c r="L49" s="417"/>
      <c r="M49" s="415"/>
      <c r="N49" s="414"/>
      <c r="O49" s="415"/>
      <c r="P49" s="417"/>
      <c r="Q49" s="415"/>
    </row>
    <row r="50" spans="1:17" ht="21.75" x14ac:dyDescent="0.5">
      <c r="A50" s="413">
        <v>45</v>
      </c>
      <c r="B50" s="413" t="s">
        <v>2140</v>
      </c>
      <c r="C50" s="416" t="s">
        <v>2539</v>
      </c>
      <c r="D50" s="417"/>
      <c r="E50" s="417"/>
      <c r="F50" s="415"/>
      <c r="G50" s="417"/>
      <c r="H50" s="415"/>
      <c r="I50" s="415"/>
      <c r="J50" s="415"/>
      <c r="K50" s="417"/>
      <c r="L50" s="417"/>
      <c r="M50" s="415"/>
      <c r="N50" s="414"/>
      <c r="O50" s="415"/>
      <c r="P50" s="417"/>
      <c r="Q50" s="415">
        <f>SUM(D50:P50)</f>
        <v>0</v>
      </c>
    </row>
    <row r="51" spans="1:17" ht="21.75" x14ac:dyDescent="0.5">
      <c r="A51" s="413">
        <v>46</v>
      </c>
      <c r="B51" s="413" t="s">
        <v>2140</v>
      </c>
      <c r="C51" s="416" t="s">
        <v>2147</v>
      </c>
      <c r="D51" s="417"/>
      <c r="E51" s="417"/>
      <c r="F51" s="415"/>
      <c r="G51" s="417"/>
      <c r="H51" s="417"/>
      <c r="I51" s="415"/>
      <c r="J51" s="417"/>
      <c r="K51" s="417"/>
      <c r="L51" s="417"/>
      <c r="M51" s="415"/>
      <c r="N51" s="414"/>
      <c r="O51" s="415"/>
      <c r="P51" s="417"/>
      <c r="Q51" s="415">
        <f>SUM(D51:P51)</f>
        <v>0</v>
      </c>
    </row>
    <row r="52" spans="1:17" ht="21.75" x14ac:dyDescent="0.5">
      <c r="A52" s="413"/>
      <c r="B52" s="413"/>
      <c r="C52" s="416" t="s">
        <v>2540</v>
      </c>
      <c r="D52" s="417"/>
      <c r="E52" s="417"/>
      <c r="F52" s="415"/>
      <c r="G52" s="417"/>
      <c r="H52" s="417"/>
      <c r="I52" s="415"/>
      <c r="J52" s="415"/>
      <c r="K52" s="417"/>
      <c r="L52" s="417"/>
      <c r="M52" s="415"/>
      <c r="N52" s="414"/>
      <c r="O52" s="415"/>
      <c r="P52" s="417"/>
      <c r="Q52" s="415"/>
    </row>
    <row r="53" spans="1:17" ht="21.75" x14ac:dyDescent="0.5">
      <c r="A53" s="413">
        <v>47</v>
      </c>
      <c r="B53" s="413"/>
      <c r="C53" s="416" t="s">
        <v>2541</v>
      </c>
      <c r="D53" s="417"/>
      <c r="E53" s="417"/>
      <c r="F53" s="415"/>
      <c r="G53" s="417"/>
      <c r="H53" s="417"/>
      <c r="I53" s="415"/>
      <c r="J53" s="415"/>
      <c r="K53" s="417"/>
      <c r="L53" s="417"/>
      <c r="M53" s="415"/>
      <c r="N53" s="414"/>
      <c r="O53" s="415"/>
      <c r="P53" s="417"/>
      <c r="Q53" s="415">
        <f t="shared" ref="Q53:Q65" si="1">SUM(D53:P53)</f>
        <v>0</v>
      </c>
    </row>
    <row r="54" spans="1:17" ht="21.75" x14ac:dyDescent="0.5">
      <c r="A54" s="413">
        <v>48</v>
      </c>
      <c r="B54" s="413" t="s">
        <v>251</v>
      </c>
      <c r="C54" s="416" t="s">
        <v>2211</v>
      </c>
      <c r="D54" s="417"/>
      <c r="E54" s="417"/>
      <c r="F54" s="415"/>
      <c r="G54" s="415"/>
      <c r="H54" s="415"/>
      <c r="I54" s="417"/>
      <c r="J54" s="415"/>
      <c r="K54" s="417"/>
      <c r="L54" s="417"/>
      <c r="M54" s="415"/>
      <c r="N54" s="414"/>
      <c r="O54" s="415"/>
      <c r="P54" s="417"/>
      <c r="Q54" s="415">
        <f t="shared" si="1"/>
        <v>0</v>
      </c>
    </row>
    <row r="55" spans="1:17" ht="21.75" x14ac:dyDescent="0.5">
      <c r="A55" s="413">
        <v>49</v>
      </c>
      <c r="B55" s="413"/>
      <c r="C55" s="416" t="s">
        <v>2542</v>
      </c>
      <c r="D55" s="417"/>
      <c r="E55" s="417"/>
      <c r="F55" s="415"/>
      <c r="G55" s="415"/>
      <c r="H55" s="415"/>
      <c r="I55" s="417"/>
      <c r="J55" s="415"/>
      <c r="K55" s="417"/>
      <c r="L55" s="417"/>
      <c r="M55" s="415"/>
      <c r="N55" s="414"/>
      <c r="O55" s="415"/>
      <c r="P55" s="417"/>
      <c r="Q55" s="415">
        <f t="shared" si="1"/>
        <v>0</v>
      </c>
    </row>
    <row r="56" spans="1:17" ht="21.75" x14ac:dyDescent="0.5">
      <c r="A56" s="413">
        <v>50</v>
      </c>
      <c r="B56" s="413"/>
      <c r="C56" s="414" t="s">
        <v>2543</v>
      </c>
      <c r="D56" s="417"/>
      <c r="E56" s="417"/>
      <c r="F56" s="415"/>
      <c r="G56" s="415"/>
      <c r="H56" s="415"/>
      <c r="I56" s="417"/>
      <c r="J56" s="415"/>
      <c r="K56" s="417"/>
      <c r="L56" s="417"/>
      <c r="M56" s="415"/>
      <c r="N56" s="414"/>
      <c r="O56" s="415"/>
      <c r="P56" s="417"/>
      <c r="Q56" s="415">
        <f t="shared" si="1"/>
        <v>0</v>
      </c>
    </row>
    <row r="57" spans="1:17" ht="21.75" x14ac:dyDescent="0.5">
      <c r="A57" s="413">
        <v>51</v>
      </c>
      <c r="B57" s="413"/>
      <c r="C57" s="416" t="s">
        <v>2544</v>
      </c>
      <c r="D57" s="417"/>
      <c r="E57" s="417"/>
      <c r="F57" s="415"/>
      <c r="G57" s="415"/>
      <c r="H57" s="415"/>
      <c r="I57" s="417"/>
      <c r="J57" s="415"/>
      <c r="K57" s="417"/>
      <c r="L57" s="417"/>
      <c r="M57" s="415"/>
      <c r="N57" s="414"/>
      <c r="O57" s="415"/>
      <c r="P57" s="417"/>
      <c r="Q57" s="415">
        <f t="shared" si="1"/>
        <v>0</v>
      </c>
    </row>
    <row r="58" spans="1:17" ht="21.75" x14ac:dyDescent="0.5">
      <c r="A58" s="413">
        <v>52</v>
      </c>
      <c r="B58" s="413"/>
      <c r="C58" s="416" t="s">
        <v>2545</v>
      </c>
      <c r="D58" s="417"/>
      <c r="E58" s="417"/>
      <c r="F58" s="415"/>
      <c r="G58" s="415"/>
      <c r="H58" s="415"/>
      <c r="I58" s="417"/>
      <c r="J58" s="417"/>
      <c r="K58" s="417"/>
      <c r="L58" s="417"/>
      <c r="M58" s="415"/>
      <c r="N58" s="414"/>
      <c r="O58" s="415"/>
      <c r="P58" s="417"/>
      <c r="Q58" s="415">
        <f t="shared" si="1"/>
        <v>0</v>
      </c>
    </row>
    <row r="59" spans="1:17" ht="21.75" x14ac:dyDescent="0.5">
      <c r="A59" s="413">
        <v>53</v>
      </c>
      <c r="B59" s="413"/>
      <c r="C59" s="416" t="s">
        <v>2546</v>
      </c>
      <c r="D59" s="417"/>
      <c r="E59" s="417"/>
      <c r="F59" s="415"/>
      <c r="G59" s="415"/>
      <c r="H59" s="415"/>
      <c r="I59" s="417"/>
      <c r="J59" s="415"/>
      <c r="K59" s="417"/>
      <c r="L59" s="417"/>
      <c r="M59" s="415"/>
      <c r="N59" s="414"/>
      <c r="O59" s="417"/>
      <c r="P59" s="417"/>
      <c r="Q59" s="415">
        <f t="shared" si="1"/>
        <v>0</v>
      </c>
    </row>
    <row r="60" spans="1:17" ht="21.75" x14ac:dyDescent="0.5">
      <c r="A60" s="413">
        <v>54</v>
      </c>
      <c r="B60" s="413"/>
      <c r="C60" s="416" t="s">
        <v>2547</v>
      </c>
      <c r="D60" s="417"/>
      <c r="E60" s="417"/>
      <c r="F60" s="415"/>
      <c r="G60" s="415"/>
      <c r="H60" s="415"/>
      <c r="I60" s="417"/>
      <c r="J60" s="415"/>
      <c r="K60" s="417"/>
      <c r="L60" s="417"/>
      <c r="M60" s="415"/>
      <c r="N60" s="414"/>
      <c r="O60" s="417"/>
      <c r="P60" s="417"/>
      <c r="Q60" s="415">
        <f t="shared" si="1"/>
        <v>0</v>
      </c>
    </row>
    <row r="61" spans="1:17" ht="21.75" x14ac:dyDescent="0.5">
      <c r="A61" s="413">
        <v>55</v>
      </c>
      <c r="B61" s="413"/>
      <c r="C61" s="416" t="s">
        <v>2548</v>
      </c>
      <c r="D61" s="417"/>
      <c r="E61" s="417"/>
      <c r="F61" s="417"/>
      <c r="G61" s="415"/>
      <c r="H61" s="415"/>
      <c r="I61" s="417"/>
      <c r="J61" s="415"/>
      <c r="K61" s="417"/>
      <c r="L61" s="417"/>
      <c r="M61" s="415"/>
      <c r="N61" s="414"/>
      <c r="O61" s="417"/>
      <c r="P61" s="417"/>
      <c r="Q61" s="415">
        <f t="shared" si="1"/>
        <v>0</v>
      </c>
    </row>
    <row r="62" spans="1:17" ht="21.75" x14ac:dyDescent="0.5">
      <c r="A62" s="413">
        <v>56</v>
      </c>
      <c r="B62" s="413"/>
      <c r="C62" s="416" t="s">
        <v>2549</v>
      </c>
      <c r="D62" s="417"/>
      <c r="E62" s="417"/>
      <c r="F62" s="417"/>
      <c r="G62" s="417"/>
      <c r="H62" s="415"/>
      <c r="I62" s="417"/>
      <c r="J62" s="415"/>
      <c r="K62" s="417"/>
      <c r="L62" s="417"/>
      <c r="M62" s="415"/>
      <c r="N62" s="414"/>
      <c r="O62" s="417"/>
      <c r="P62" s="417"/>
      <c r="Q62" s="415">
        <f t="shared" si="1"/>
        <v>0</v>
      </c>
    </row>
    <row r="63" spans="1:17" ht="21.75" x14ac:dyDescent="0.5">
      <c r="A63" s="413">
        <v>57</v>
      </c>
      <c r="B63" s="413"/>
      <c r="C63" s="416" t="s">
        <v>2550</v>
      </c>
      <c r="D63" s="417"/>
      <c r="E63" s="417"/>
      <c r="F63" s="415"/>
      <c r="G63" s="417"/>
      <c r="H63" s="417"/>
      <c r="I63" s="417"/>
      <c r="J63" s="417"/>
      <c r="K63" s="417"/>
      <c r="L63" s="417"/>
      <c r="M63" s="417"/>
      <c r="N63" s="414"/>
      <c r="O63" s="417"/>
      <c r="P63" s="417"/>
      <c r="Q63" s="415">
        <f t="shared" si="1"/>
        <v>0</v>
      </c>
    </row>
    <row r="64" spans="1:17" ht="21.75" x14ac:dyDescent="0.5">
      <c r="A64" s="413">
        <v>58</v>
      </c>
      <c r="B64" s="413"/>
      <c r="C64" s="416" t="s">
        <v>2551</v>
      </c>
      <c r="D64" s="417"/>
      <c r="E64" s="417"/>
      <c r="F64" s="417"/>
      <c r="G64" s="417"/>
      <c r="H64" s="417"/>
      <c r="I64" s="417"/>
      <c r="J64" s="417"/>
      <c r="K64" s="417"/>
      <c r="L64" s="417"/>
      <c r="M64" s="417"/>
      <c r="N64" s="414"/>
      <c r="O64" s="417"/>
      <c r="P64" s="417"/>
      <c r="Q64" s="415">
        <f t="shared" si="1"/>
        <v>0</v>
      </c>
    </row>
    <row r="65" spans="1:17" ht="21.75" x14ac:dyDescent="0.5">
      <c r="A65" s="413">
        <v>59</v>
      </c>
      <c r="B65" s="413"/>
      <c r="C65" s="416" t="s">
        <v>2552</v>
      </c>
      <c r="D65" s="417"/>
      <c r="E65" s="417"/>
      <c r="F65" s="417"/>
      <c r="G65" s="417"/>
      <c r="H65" s="417"/>
      <c r="I65" s="417"/>
      <c r="J65" s="417"/>
      <c r="K65" s="417"/>
      <c r="L65" s="417"/>
      <c r="M65" s="417"/>
      <c r="N65" s="414"/>
      <c r="O65" s="417"/>
      <c r="P65" s="417"/>
      <c r="Q65" s="415">
        <f t="shared" si="1"/>
        <v>0</v>
      </c>
    </row>
    <row r="66" spans="1:17" ht="21.75" x14ac:dyDescent="0.5">
      <c r="A66" s="413"/>
      <c r="B66" s="413"/>
      <c r="C66" s="414" t="s">
        <v>2553</v>
      </c>
      <c r="D66" s="417"/>
      <c r="E66" s="417"/>
      <c r="F66" s="417"/>
      <c r="G66" s="417"/>
      <c r="H66" s="417"/>
      <c r="I66" s="417"/>
      <c r="J66" s="415"/>
      <c r="K66" s="417"/>
      <c r="L66" s="417"/>
      <c r="M66" s="415"/>
      <c r="N66" s="414"/>
      <c r="O66" s="417"/>
      <c r="P66" s="417"/>
      <c r="Q66" s="415"/>
    </row>
    <row r="67" spans="1:17" ht="21.75" x14ac:dyDescent="0.5">
      <c r="A67" s="413">
        <v>60</v>
      </c>
      <c r="B67" s="413"/>
      <c r="C67" s="416" t="s">
        <v>2554</v>
      </c>
      <c r="D67" s="417"/>
      <c r="E67" s="417"/>
      <c r="F67" s="417"/>
      <c r="G67" s="417"/>
      <c r="H67" s="417"/>
      <c r="I67" s="417"/>
      <c r="J67" s="415"/>
      <c r="K67" s="417"/>
      <c r="L67" s="417"/>
      <c r="M67" s="415"/>
      <c r="N67" s="414"/>
      <c r="O67" s="417"/>
      <c r="P67" s="417"/>
      <c r="Q67" s="415">
        <f t="shared" ref="Q67:Q74" si="2">SUM(D67:P67)</f>
        <v>0</v>
      </c>
    </row>
    <row r="68" spans="1:17" ht="21.75" x14ac:dyDescent="0.5">
      <c r="A68" s="413">
        <v>61</v>
      </c>
      <c r="B68" s="413"/>
      <c r="C68" s="416" t="s">
        <v>2555</v>
      </c>
      <c r="D68" s="417"/>
      <c r="E68" s="417"/>
      <c r="F68" s="415"/>
      <c r="G68" s="417"/>
      <c r="H68" s="417"/>
      <c r="I68" s="415"/>
      <c r="J68" s="415"/>
      <c r="K68" s="417"/>
      <c r="L68" s="417"/>
      <c r="M68" s="415"/>
      <c r="N68" s="414"/>
      <c r="O68" s="417"/>
      <c r="P68" s="417"/>
      <c r="Q68" s="415">
        <f t="shared" si="2"/>
        <v>0</v>
      </c>
    </row>
    <row r="69" spans="1:17" ht="21.75" x14ac:dyDescent="0.5">
      <c r="A69" s="413">
        <v>62</v>
      </c>
      <c r="B69" s="413" t="s">
        <v>251</v>
      </c>
      <c r="C69" s="416" t="s">
        <v>104</v>
      </c>
      <c r="D69" s="417"/>
      <c r="E69" s="417"/>
      <c r="F69" s="415"/>
      <c r="G69" s="417"/>
      <c r="H69" s="417"/>
      <c r="I69" s="415"/>
      <c r="J69" s="415"/>
      <c r="K69" s="417"/>
      <c r="L69" s="417"/>
      <c r="M69" s="415"/>
      <c r="N69" s="414"/>
      <c r="O69" s="417"/>
      <c r="P69" s="417"/>
      <c r="Q69" s="415">
        <f t="shared" si="2"/>
        <v>0</v>
      </c>
    </row>
    <row r="70" spans="1:17" ht="21.75" x14ac:dyDescent="0.5">
      <c r="A70" s="413">
        <v>63</v>
      </c>
      <c r="B70" s="413"/>
      <c r="C70" s="416" t="s">
        <v>2139</v>
      </c>
      <c r="D70" s="417"/>
      <c r="E70" s="417"/>
      <c r="F70" s="415"/>
      <c r="G70" s="415"/>
      <c r="H70" s="415"/>
      <c r="I70" s="415"/>
      <c r="J70" s="415"/>
      <c r="K70" s="417"/>
      <c r="L70" s="417"/>
      <c r="M70" s="415"/>
      <c r="N70" s="414"/>
      <c r="O70" s="415"/>
      <c r="P70" s="417"/>
      <c r="Q70" s="415">
        <f t="shared" si="2"/>
        <v>0</v>
      </c>
    </row>
    <row r="71" spans="1:17" ht="21.75" x14ac:dyDescent="0.5">
      <c r="A71" s="413">
        <v>64</v>
      </c>
      <c r="B71" s="413"/>
      <c r="C71" s="416" t="s">
        <v>2556</v>
      </c>
      <c r="D71" s="417"/>
      <c r="E71" s="417"/>
      <c r="F71" s="415"/>
      <c r="G71" s="415"/>
      <c r="H71" s="415"/>
      <c r="I71" s="417"/>
      <c r="J71" s="415"/>
      <c r="K71" s="417"/>
      <c r="L71" s="417"/>
      <c r="M71" s="415"/>
      <c r="N71" s="414"/>
      <c r="O71" s="415"/>
      <c r="P71" s="417"/>
      <c r="Q71" s="415">
        <f t="shared" si="2"/>
        <v>0</v>
      </c>
    </row>
    <row r="72" spans="1:17" ht="21.75" x14ac:dyDescent="0.5">
      <c r="A72" s="413">
        <v>65</v>
      </c>
      <c r="B72" s="413" t="s">
        <v>28</v>
      </c>
      <c r="C72" s="416" t="s">
        <v>2557</v>
      </c>
      <c r="D72" s="417"/>
      <c r="E72" s="417"/>
      <c r="F72" s="415"/>
      <c r="G72" s="415"/>
      <c r="H72" s="415"/>
      <c r="I72" s="417"/>
      <c r="J72" s="415"/>
      <c r="K72" s="417"/>
      <c r="L72" s="417"/>
      <c r="M72" s="415"/>
      <c r="N72" s="414"/>
      <c r="O72" s="415"/>
      <c r="P72" s="417"/>
      <c r="Q72" s="415">
        <f t="shared" si="2"/>
        <v>0</v>
      </c>
    </row>
    <row r="73" spans="1:17" ht="21.75" x14ac:dyDescent="0.5">
      <c r="A73" s="413">
        <v>66</v>
      </c>
      <c r="B73" s="413" t="s">
        <v>251</v>
      </c>
      <c r="C73" s="416" t="s">
        <v>2125</v>
      </c>
      <c r="D73" s="417"/>
      <c r="E73" s="417"/>
      <c r="F73" s="415"/>
      <c r="G73" s="415"/>
      <c r="H73" s="415"/>
      <c r="I73" s="417"/>
      <c r="J73" s="415"/>
      <c r="K73" s="417"/>
      <c r="L73" s="417"/>
      <c r="M73" s="415"/>
      <c r="N73" s="414"/>
      <c r="O73" s="415"/>
      <c r="P73" s="417"/>
      <c r="Q73" s="415">
        <f t="shared" si="2"/>
        <v>0</v>
      </c>
    </row>
    <row r="74" spans="1:17" ht="21.75" x14ac:dyDescent="0.5">
      <c r="A74" s="413">
        <v>67</v>
      </c>
      <c r="B74" s="413"/>
      <c r="C74" s="416" t="s">
        <v>2558</v>
      </c>
      <c r="D74" s="417"/>
      <c r="E74" s="417"/>
      <c r="F74" s="415"/>
      <c r="G74" s="415"/>
      <c r="H74" s="415"/>
      <c r="I74" s="417"/>
      <c r="J74" s="415"/>
      <c r="K74" s="417"/>
      <c r="L74" s="417"/>
      <c r="M74" s="415"/>
      <c r="N74" s="414"/>
      <c r="O74" s="417"/>
      <c r="P74" s="417"/>
      <c r="Q74" s="415">
        <f t="shared" si="2"/>
        <v>0</v>
      </c>
    </row>
    <row r="75" spans="1:17" ht="21.75" x14ac:dyDescent="0.5">
      <c r="A75" s="413"/>
      <c r="B75" s="413"/>
      <c r="C75" s="414" t="s">
        <v>1654</v>
      </c>
      <c r="D75" s="417"/>
      <c r="E75" s="417"/>
      <c r="F75" s="415"/>
      <c r="G75" s="415"/>
      <c r="H75" s="415"/>
      <c r="I75" s="417"/>
      <c r="J75" s="415"/>
      <c r="K75" s="417"/>
      <c r="L75" s="417"/>
      <c r="M75" s="415"/>
      <c r="N75" s="414"/>
      <c r="O75" s="417"/>
      <c r="P75" s="417"/>
      <c r="Q75" s="415"/>
    </row>
    <row r="76" spans="1:17" ht="21.75" x14ac:dyDescent="0.5">
      <c r="A76" s="413">
        <v>68</v>
      </c>
      <c r="B76" s="413"/>
      <c r="C76" s="416" t="s">
        <v>2559</v>
      </c>
      <c r="D76" s="417"/>
      <c r="E76" s="417"/>
      <c r="F76" s="415"/>
      <c r="G76" s="415"/>
      <c r="H76" s="415"/>
      <c r="I76" s="417"/>
      <c r="J76" s="415"/>
      <c r="K76" s="417"/>
      <c r="L76" s="417"/>
      <c r="M76" s="415"/>
      <c r="N76" s="414"/>
      <c r="O76" s="417"/>
      <c r="P76" s="417"/>
      <c r="Q76" s="415">
        <f>SUM(D76:P76)</f>
        <v>0</v>
      </c>
    </row>
    <row r="77" spans="1:17" ht="21.75" x14ac:dyDescent="0.5">
      <c r="A77" s="413"/>
      <c r="B77" s="413"/>
      <c r="C77" s="414" t="s">
        <v>2560</v>
      </c>
      <c r="D77" s="417"/>
      <c r="E77" s="417"/>
      <c r="F77" s="415"/>
      <c r="G77" s="415"/>
      <c r="H77" s="415"/>
      <c r="I77" s="417"/>
      <c r="J77" s="417"/>
      <c r="K77" s="417"/>
      <c r="L77" s="417"/>
      <c r="M77" s="415"/>
      <c r="N77" s="414"/>
      <c r="O77" s="417"/>
      <c r="P77" s="417"/>
      <c r="Q77" s="415"/>
    </row>
    <row r="78" spans="1:17" ht="21.75" x14ac:dyDescent="0.5">
      <c r="A78" s="413">
        <v>69</v>
      </c>
      <c r="B78" s="413" t="s">
        <v>251</v>
      </c>
      <c r="C78" s="416" t="s">
        <v>2118</v>
      </c>
      <c r="D78" s="417"/>
      <c r="E78" s="417"/>
      <c r="F78" s="415"/>
      <c r="G78" s="415"/>
      <c r="H78" s="415"/>
      <c r="I78" s="417"/>
      <c r="J78" s="417"/>
      <c r="K78" s="417"/>
      <c r="L78" s="417"/>
      <c r="M78" s="415"/>
      <c r="N78" s="414"/>
      <c r="O78" s="417"/>
      <c r="P78" s="417"/>
      <c r="Q78" s="415">
        <f>SUM(D78:P78)</f>
        <v>0</v>
      </c>
    </row>
    <row r="79" spans="1:17" ht="21.75" x14ac:dyDescent="0.5">
      <c r="A79" s="413">
        <v>70</v>
      </c>
      <c r="B79" s="413"/>
      <c r="C79" s="416" t="s">
        <v>2167</v>
      </c>
      <c r="D79" s="417"/>
      <c r="E79" s="417"/>
      <c r="F79" s="415"/>
      <c r="G79" s="415"/>
      <c r="H79" s="415"/>
      <c r="I79" s="417"/>
      <c r="J79" s="415"/>
      <c r="K79" s="417"/>
      <c r="L79" s="417"/>
      <c r="M79" s="415"/>
      <c r="N79" s="414"/>
      <c r="O79" s="417"/>
      <c r="P79" s="417"/>
      <c r="Q79" s="415">
        <f>SUM(D79:P79)</f>
        <v>0</v>
      </c>
    </row>
    <row r="80" spans="1:17" ht="21.75" x14ac:dyDescent="0.5">
      <c r="A80" s="413">
        <v>71</v>
      </c>
      <c r="B80" s="414" t="s">
        <v>2152</v>
      </c>
      <c r="C80" s="416" t="s">
        <v>2166</v>
      </c>
      <c r="D80" s="417"/>
      <c r="E80" s="417"/>
      <c r="F80" s="415"/>
      <c r="G80" s="415"/>
      <c r="H80" s="415"/>
      <c r="I80" s="417"/>
      <c r="J80" s="415"/>
      <c r="K80" s="417"/>
      <c r="L80" s="417"/>
      <c r="M80" s="415"/>
      <c r="N80" s="414"/>
      <c r="O80" s="417"/>
      <c r="P80" s="417"/>
      <c r="Q80" s="415">
        <f>SUM(D80:P80)</f>
        <v>0</v>
      </c>
    </row>
    <row r="81" spans="1:17" ht="21.75" x14ac:dyDescent="0.5">
      <c r="A81" s="413">
        <v>72</v>
      </c>
      <c r="B81" s="414" t="s">
        <v>2152</v>
      </c>
      <c r="C81" s="416" t="s">
        <v>2561</v>
      </c>
      <c r="D81" s="417"/>
      <c r="E81" s="417"/>
      <c r="F81" s="417"/>
      <c r="G81" s="415"/>
      <c r="H81" s="415"/>
      <c r="I81" s="417"/>
      <c r="J81" s="415"/>
      <c r="K81" s="417"/>
      <c r="L81" s="417"/>
      <c r="M81" s="415"/>
      <c r="N81" s="414"/>
      <c r="O81" s="417"/>
      <c r="P81" s="417"/>
      <c r="Q81" s="415">
        <f>SUM(D81:P81)</f>
        <v>0</v>
      </c>
    </row>
    <row r="82" spans="1:17" ht="21.75" x14ac:dyDescent="0.5">
      <c r="A82" s="413"/>
      <c r="B82" s="414"/>
      <c r="C82" s="414" t="s">
        <v>2562</v>
      </c>
      <c r="D82" s="417"/>
      <c r="E82" s="417"/>
      <c r="F82" s="417"/>
      <c r="G82" s="415"/>
      <c r="H82" s="415"/>
      <c r="I82" s="417"/>
      <c r="J82" s="417"/>
      <c r="K82" s="417"/>
      <c r="L82" s="417"/>
      <c r="M82" s="415"/>
      <c r="N82" s="414"/>
      <c r="O82" s="417"/>
      <c r="P82" s="417"/>
      <c r="Q82" s="415"/>
    </row>
    <row r="83" spans="1:17" ht="21.75" x14ac:dyDescent="0.5">
      <c r="A83" s="413">
        <v>73</v>
      </c>
      <c r="B83" s="414"/>
      <c r="C83" s="416" t="s">
        <v>2563</v>
      </c>
      <c r="D83" s="417"/>
      <c r="E83" s="417"/>
      <c r="F83" s="417"/>
      <c r="G83" s="415"/>
      <c r="H83" s="415"/>
      <c r="I83" s="417"/>
      <c r="J83" s="417"/>
      <c r="K83" s="417"/>
      <c r="L83" s="417"/>
      <c r="M83" s="415"/>
      <c r="N83" s="414"/>
      <c r="O83" s="417"/>
      <c r="P83" s="417"/>
      <c r="Q83" s="415">
        <f>SUM(D83:P83)</f>
        <v>0</v>
      </c>
    </row>
    <row r="84" spans="1:17" ht="21.75" x14ac:dyDescent="0.5">
      <c r="A84" s="413"/>
      <c r="B84" s="414"/>
      <c r="C84" s="416" t="s">
        <v>2564</v>
      </c>
      <c r="D84" s="417"/>
      <c r="E84" s="417"/>
      <c r="F84" s="417"/>
      <c r="G84" s="415"/>
      <c r="H84" s="415"/>
      <c r="I84" s="417"/>
      <c r="J84" s="417"/>
      <c r="K84" s="417"/>
      <c r="L84" s="417"/>
      <c r="M84" s="415"/>
      <c r="N84" s="414"/>
      <c r="O84" s="417"/>
      <c r="P84" s="417"/>
      <c r="Q84" s="415"/>
    </row>
    <row r="85" spans="1:17" ht="21.75" x14ac:dyDescent="0.5">
      <c r="A85" s="413">
        <v>74</v>
      </c>
      <c r="B85" s="414"/>
      <c r="C85" s="416" t="s">
        <v>2565</v>
      </c>
      <c r="D85" s="417"/>
      <c r="E85" s="417"/>
      <c r="F85" s="415"/>
      <c r="G85" s="417"/>
      <c r="H85" s="415"/>
      <c r="I85" s="417"/>
      <c r="J85" s="417"/>
      <c r="K85" s="417"/>
      <c r="L85" s="417"/>
      <c r="M85" s="417"/>
      <c r="N85" s="414"/>
      <c r="O85" s="417"/>
      <c r="P85" s="417"/>
      <c r="Q85" s="415">
        <f>SUM(D85:P85)</f>
        <v>0</v>
      </c>
    </row>
    <row r="86" spans="1:17" ht="21.75" x14ac:dyDescent="0.5">
      <c r="A86" s="413">
        <v>75</v>
      </c>
      <c r="B86" s="413"/>
      <c r="C86" s="416" t="s">
        <v>2566</v>
      </c>
      <c r="D86" s="417"/>
      <c r="E86" s="417"/>
      <c r="F86" s="417"/>
      <c r="G86" s="417"/>
      <c r="H86" s="417"/>
      <c r="I86" s="417"/>
      <c r="J86" s="415"/>
      <c r="K86" s="417"/>
      <c r="L86" s="417"/>
      <c r="M86" s="417"/>
      <c r="N86" s="414"/>
      <c r="O86" s="417"/>
      <c r="P86" s="417"/>
      <c r="Q86" s="415">
        <f>SUM(D86:P86)</f>
        <v>0</v>
      </c>
    </row>
    <row r="87" spans="1:17" ht="21.75" x14ac:dyDescent="0.5">
      <c r="A87" s="413">
        <v>76</v>
      </c>
      <c r="B87" s="413" t="s">
        <v>28</v>
      </c>
      <c r="C87" s="416" t="s">
        <v>2567</v>
      </c>
      <c r="D87" s="417"/>
      <c r="E87" s="417"/>
      <c r="F87" s="417"/>
      <c r="G87" s="415"/>
      <c r="H87" s="417"/>
      <c r="I87" s="417"/>
      <c r="J87" s="415"/>
      <c r="K87" s="417"/>
      <c r="L87" s="417"/>
      <c r="M87" s="417"/>
      <c r="N87" s="414"/>
      <c r="O87" s="415"/>
      <c r="P87" s="417"/>
      <c r="Q87" s="415">
        <f>SUM(D87:P87)</f>
        <v>0</v>
      </c>
    </row>
    <row r="88" spans="1:17" ht="21.75" x14ac:dyDescent="0.5">
      <c r="A88" s="413">
        <v>77</v>
      </c>
      <c r="B88" s="413" t="s">
        <v>2132</v>
      </c>
      <c r="C88" s="416" t="s">
        <v>2126</v>
      </c>
      <c r="D88" s="417"/>
      <c r="E88" s="417"/>
      <c r="F88" s="415"/>
      <c r="G88" s="415"/>
      <c r="H88" s="415"/>
      <c r="I88" s="417"/>
      <c r="J88" s="417"/>
      <c r="K88" s="417"/>
      <c r="L88" s="417"/>
      <c r="M88" s="415"/>
      <c r="N88" s="414"/>
      <c r="O88" s="415"/>
      <c r="P88" s="417"/>
      <c r="Q88" s="415">
        <f>SUM(D88:P88)</f>
        <v>0</v>
      </c>
    </row>
    <row r="89" spans="1:17" ht="21.75" x14ac:dyDescent="0.5">
      <c r="A89" s="413"/>
      <c r="B89" s="413"/>
      <c r="C89" s="416" t="s">
        <v>2568</v>
      </c>
      <c r="D89" s="417"/>
      <c r="E89" s="417"/>
      <c r="F89" s="415"/>
      <c r="G89" s="415"/>
      <c r="H89" s="417"/>
      <c r="I89" s="417"/>
      <c r="J89" s="415"/>
      <c r="K89" s="417"/>
      <c r="L89" s="417"/>
      <c r="M89" s="415"/>
      <c r="N89" s="414"/>
      <c r="O89" s="415"/>
      <c r="P89" s="417"/>
      <c r="Q89" s="415"/>
    </row>
    <row r="90" spans="1:17" ht="21.75" x14ac:dyDescent="0.5">
      <c r="A90" s="413">
        <v>78</v>
      </c>
      <c r="B90" s="413"/>
      <c r="C90" s="416" t="s">
        <v>2569</v>
      </c>
      <c r="D90" s="417"/>
      <c r="E90" s="417"/>
      <c r="F90" s="415"/>
      <c r="G90" s="415"/>
      <c r="H90" s="417"/>
      <c r="I90" s="417"/>
      <c r="J90" s="415"/>
      <c r="K90" s="417"/>
      <c r="L90" s="417"/>
      <c r="M90" s="415"/>
      <c r="N90" s="414"/>
      <c r="O90" s="417"/>
      <c r="P90" s="417"/>
      <c r="Q90" s="415">
        <f t="shared" ref="Q90:Q109" si="3">SUM(D90:P90)</f>
        <v>0</v>
      </c>
    </row>
    <row r="91" spans="1:17" ht="21.75" x14ac:dyDescent="0.5">
      <c r="A91" s="413">
        <v>79</v>
      </c>
      <c r="B91" s="413"/>
      <c r="C91" s="416" t="s">
        <v>2570</v>
      </c>
      <c r="D91" s="417"/>
      <c r="E91" s="417"/>
      <c r="F91" s="417"/>
      <c r="G91" s="417"/>
      <c r="H91" s="417"/>
      <c r="I91" s="417"/>
      <c r="J91" s="415"/>
      <c r="K91" s="417"/>
      <c r="L91" s="417"/>
      <c r="M91" s="415"/>
      <c r="N91" s="414"/>
      <c r="O91" s="417"/>
      <c r="P91" s="417"/>
      <c r="Q91" s="415">
        <f t="shared" si="3"/>
        <v>0</v>
      </c>
    </row>
    <row r="92" spans="1:17" ht="21.75" x14ac:dyDescent="0.5">
      <c r="A92" s="413">
        <v>80</v>
      </c>
      <c r="B92" s="413"/>
      <c r="C92" s="416" t="s">
        <v>2571</v>
      </c>
      <c r="D92" s="417"/>
      <c r="E92" s="417"/>
      <c r="F92" s="417"/>
      <c r="G92" s="417"/>
      <c r="H92" s="417"/>
      <c r="I92" s="417"/>
      <c r="J92" s="415"/>
      <c r="K92" s="417"/>
      <c r="L92" s="417"/>
      <c r="M92" s="415"/>
      <c r="N92" s="414"/>
      <c r="O92" s="415"/>
      <c r="P92" s="417"/>
      <c r="Q92" s="415">
        <f t="shared" si="3"/>
        <v>0</v>
      </c>
    </row>
    <row r="93" spans="1:17" ht="21.75" x14ac:dyDescent="0.5">
      <c r="A93" s="413"/>
      <c r="B93" s="413"/>
      <c r="C93" s="416" t="s">
        <v>2572</v>
      </c>
      <c r="D93" s="417"/>
      <c r="E93" s="417"/>
      <c r="F93" s="417"/>
      <c r="G93" s="417"/>
      <c r="H93" s="417"/>
      <c r="I93" s="417"/>
      <c r="J93" s="415"/>
      <c r="K93" s="417"/>
      <c r="L93" s="417"/>
      <c r="M93" s="415"/>
      <c r="N93" s="414"/>
      <c r="O93" s="415"/>
      <c r="P93" s="417"/>
      <c r="Q93" s="415">
        <f t="shared" si="3"/>
        <v>0</v>
      </c>
    </row>
    <row r="94" spans="1:17" ht="21.75" x14ac:dyDescent="0.5">
      <c r="A94" s="413"/>
      <c r="B94" s="413"/>
      <c r="C94" s="416" t="s">
        <v>2573</v>
      </c>
      <c r="D94" s="417"/>
      <c r="E94" s="417"/>
      <c r="F94" s="417"/>
      <c r="G94" s="417"/>
      <c r="H94" s="417"/>
      <c r="I94" s="417"/>
      <c r="J94" s="415"/>
      <c r="K94" s="417"/>
      <c r="L94" s="417"/>
      <c r="M94" s="415"/>
      <c r="N94" s="414"/>
      <c r="O94" s="415"/>
      <c r="P94" s="417"/>
      <c r="Q94" s="415">
        <f t="shared" si="3"/>
        <v>0</v>
      </c>
    </row>
    <row r="95" spans="1:17" ht="21.75" x14ac:dyDescent="0.5">
      <c r="A95" s="413"/>
      <c r="B95" s="413"/>
      <c r="C95" s="416" t="s">
        <v>2574</v>
      </c>
      <c r="D95" s="417"/>
      <c r="E95" s="417"/>
      <c r="F95" s="417"/>
      <c r="G95" s="417"/>
      <c r="H95" s="417"/>
      <c r="I95" s="417"/>
      <c r="J95" s="415"/>
      <c r="K95" s="417"/>
      <c r="L95" s="417"/>
      <c r="M95" s="417"/>
      <c r="N95" s="414"/>
      <c r="O95" s="415"/>
      <c r="P95" s="417"/>
      <c r="Q95" s="415">
        <f t="shared" si="3"/>
        <v>0</v>
      </c>
    </row>
    <row r="96" spans="1:17" ht="21.75" x14ac:dyDescent="0.5">
      <c r="A96" s="413">
        <v>81</v>
      </c>
      <c r="B96" s="413"/>
      <c r="C96" s="416" t="s">
        <v>2575</v>
      </c>
      <c r="D96" s="417"/>
      <c r="E96" s="417"/>
      <c r="F96" s="415"/>
      <c r="G96" s="417"/>
      <c r="H96" s="417"/>
      <c r="I96" s="417"/>
      <c r="J96" s="417"/>
      <c r="K96" s="417"/>
      <c r="L96" s="417"/>
      <c r="M96" s="417"/>
      <c r="N96" s="414"/>
      <c r="O96" s="415"/>
      <c r="P96" s="417"/>
      <c r="Q96" s="415">
        <f t="shared" si="3"/>
        <v>0</v>
      </c>
    </row>
    <row r="97" spans="1:17" ht="21.75" x14ac:dyDescent="0.5">
      <c r="A97" s="413"/>
      <c r="B97" s="413"/>
      <c r="C97" s="414" t="s">
        <v>2576</v>
      </c>
      <c r="D97" s="417"/>
      <c r="E97" s="417"/>
      <c r="F97" s="417"/>
      <c r="G97" s="417"/>
      <c r="H97" s="417"/>
      <c r="I97" s="417"/>
      <c r="J97" s="417"/>
      <c r="K97" s="417"/>
      <c r="L97" s="417"/>
      <c r="M97" s="417"/>
      <c r="N97" s="414"/>
      <c r="O97" s="415"/>
      <c r="P97" s="417"/>
      <c r="Q97" s="415">
        <f t="shared" si="3"/>
        <v>0</v>
      </c>
    </row>
    <row r="98" spans="1:17" ht="21.75" x14ac:dyDescent="0.5">
      <c r="A98" s="413">
        <v>82</v>
      </c>
      <c r="B98" s="413"/>
      <c r="C98" s="416" t="s">
        <v>2577</v>
      </c>
      <c r="D98" s="417"/>
      <c r="E98" s="417"/>
      <c r="F98" s="417"/>
      <c r="G98" s="417"/>
      <c r="H98" s="417"/>
      <c r="I98" s="417"/>
      <c r="J98" s="417"/>
      <c r="K98" s="417"/>
      <c r="L98" s="417"/>
      <c r="M98" s="417"/>
      <c r="N98" s="414"/>
      <c r="O98" s="415"/>
      <c r="P98" s="417"/>
      <c r="Q98" s="415">
        <f t="shared" si="3"/>
        <v>0</v>
      </c>
    </row>
    <row r="99" spans="1:17" ht="21.75" x14ac:dyDescent="0.5">
      <c r="A99" s="413"/>
      <c r="B99" s="413"/>
      <c r="C99" s="416" t="s">
        <v>2578</v>
      </c>
      <c r="D99" s="417"/>
      <c r="E99" s="417"/>
      <c r="F99" s="417"/>
      <c r="G99" s="417"/>
      <c r="H99" s="417"/>
      <c r="I99" s="417"/>
      <c r="J99" s="417"/>
      <c r="K99" s="417"/>
      <c r="L99" s="417"/>
      <c r="M99" s="417"/>
      <c r="N99" s="414"/>
      <c r="O99" s="415"/>
      <c r="P99" s="417"/>
      <c r="Q99" s="415">
        <f t="shared" si="3"/>
        <v>0</v>
      </c>
    </row>
    <row r="100" spans="1:17" ht="21.75" x14ac:dyDescent="0.5">
      <c r="A100" s="413"/>
      <c r="B100" s="413"/>
      <c r="C100" s="416" t="s">
        <v>2579</v>
      </c>
      <c r="D100" s="417"/>
      <c r="E100" s="417"/>
      <c r="F100" s="417"/>
      <c r="G100" s="417"/>
      <c r="H100" s="417"/>
      <c r="I100" s="417"/>
      <c r="J100" s="417"/>
      <c r="K100" s="417"/>
      <c r="L100" s="417"/>
      <c r="M100" s="417"/>
      <c r="N100" s="414"/>
      <c r="O100" s="415"/>
      <c r="P100" s="417"/>
      <c r="Q100" s="415">
        <f t="shared" si="3"/>
        <v>0</v>
      </c>
    </row>
    <row r="101" spans="1:17" ht="21.75" x14ac:dyDescent="0.5">
      <c r="A101" s="413">
        <v>83</v>
      </c>
      <c r="B101" s="413"/>
      <c r="C101" s="416" t="s">
        <v>2580</v>
      </c>
      <c r="D101" s="417"/>
      <c r="E101" s="417"/>
      <c r="F101" s="415"/>
      <c r="G101" s="417"/>
      <c r="H101" s="417"/>
      <c r="I101" s="417"/>
      <c r="J101" s="415"/>
      <c r="K101" s="417"/>
      <c r="L101" s="417"/>
      <c r="M101" s="417"/>
      <c r="N101" s="414"/>
      <c r="O101" s="415"/>
      <c r="P101" s="417"/>
      <c r="Q101" s="415">
        <f t="shared" si="3"/>
        <v>0</v>
      </c>
    </row>
    <row r="102" spans="1:17" ht="21.75" x14ac:dyDescent="0.5">
      <c r="A102" s="413">
        <v>84</v>
      </c>
      <c r="B102" s="413"/>
      <c r="C102" s="416" t="s">
        <v>116</v>
      </c>
      <c r="D102" s="417"/>
      <c r="E102" s="417"/>
      <c r="F102" s="417"/>
      <c r="G102" s="415"/>
      <c r="H102" s="417"/>
      <c r="I102" s="415"/>
      <c r="J102" s="415"/>
      <c r="K102" s="417"/>
      <c r="L102" s="417"/>
      <c r="M102" s="417"/>
      <c r="N102" s="414"/>
      <c r="O102" s="415"/>
      <c r="P102" s="417"/>
      <c r="Q102" s="415">
        <f t="shared" si="3"/>
        <v>0</v>
      </c>
    </row>
    <row r="103" spans="1:17" ht="21.75" x14ac:dyDescent="0.5">
      <c r="A103" s="413">
        <v>85</v>
      </c>
      <c r="B103" s="414" t="s">
        <v>2111</v>
      </c>
      <c r="C103" s="416" t="s">
        <v>2114</v>
      </c>
      <c r="D103" s="417"/>
      <c r="E103" s="417"/>
      <c r="F103" s="415"/>
      <c r="G103" s="415"/>
      <c r="H103" s="417"/>
      <c r="I103" s="415"/>
      <c r="J103" s="415"/>
      <c r="K103" s="417"/>
      <c r="L103" s="417"/>
      <c r="M103" s="417"/>
      <c r="N103" s="414"/>
      <c r="O103" s="417"/>
      <c r="P103" s="417"/>
      <c r="Q103" s="415">
        <f t="shared" si="3"/>
        <v>0</v>
      </c>
    </row>
    <row r="104" spans="1:17" ht="21.75" x14ac:dyDescent="0.5">
      <c r="A104" s="413">
        <v>86</v>
      </c>
      <c r="B104" s="413" t="s">
        <v>28</v>
      </c>
      <c r="C104" s="416" t="s">
        <v>118</v>
      </c>
      <c r="D104" s="417"/>
      <c r="E104" s="417"/>
      <c r="F104" s="415"/>
      <c r="G104" s="415"/>
      <c r="H104" s="417"/>
      <c r="I104" s="415"/>
      <c r="J104" s="415"/>
      <c r="K104" s="417"/>
      <c r="L104" s="417"/>
      <c r="M104" s="417"/>
      <c r="N104" s="414"/>
      <c r="O104" s="417"/>
      <c r="P104" s="417"/>
      <c r="Q104" s="415">
        <f t="shared" si="3"/>
        <v>0</v>
      </c>
    </row>
    <row r="105" spans="1:17" ht="21.75" x14ac:dyDescent="0.5">
      <c r="A105" s="413">
        <v>87</v>
      </c>
      <c r="B105" s="413" t="s">
        <v>28</v>
      </c>
      <c r="C105" s="416" t="s">
        <v>2110</v>
      </c>
      <c r="D105" s="417"/>
      <c r="E105" s="417"/>
      <c r="F105" s="417"/>
      <c r="G105" s="417"/>
      <c r="H105" s="417"/>
      <c r="I105" s="415"/>
      <c r="J105" s="417"/>
      <c r="K105" s="415"/>
      <c r="L105" s="417"/>
      <c r="M105" s="417"/>
      <c r="N105" s="414"/>
      <c r="O105" s="417"/>
      <c r="P105" s="417"/>
      <c r="Q105" s="415">
        <f t="shared" si="3"/>
        <v>0</v>
      </c>
    </row>
    <row r="106" spans="1:17" ht="21.75" x14ac:dyDescent="0.5">
      <c r="A106" s="413"/>
      <c r="B106" s="413"/>
      <c r="C106" s="416" t="s">
        <v>2581</v>
      </c>
      <c r="D106" s="417"/>
      <c r="E106" s="417"/>
      <c r="F106" s="417"/>
      <c r="G106" s="417"/>
      <c r="H106" s="417"/>
      <c r="I106" s="415"/>
      <c r="J106" s="417"/>
      <c r="K106" s="415"/>
      <c r="L106" s="417"/>
      <c r="M106" s="417"/>
      <c r="N106" s="414"/>
      <c r="O106" s="417"/>
      <c r="P106" s="417"/>
      <c r="Q106" s="415">
        <f t="shared" si="3"/>
        <v>0</v>
      </c>
    </row>
    <row r="107" spans="1:17" ht="21.75" x14ac:dyDescent="0.5">
      <c r="A107" s="413">
        <v>88</v>
      </c>
      <c r="B107" s="413"/>
      <c r="C107" s="416" t="s">
        <v>680</v>
      </c>
      <c r="D107" s="417"/>
      <c r="E107" s="417"/>
      <c r="F107" s="417"/>
      <c r="G107" s="417"/>
      <c r="H107" s="417"/>
      <c r="I107" s="415"/>
      <c r="J107" s="417"/>
      <c r="K107" s="415"/>
      <c r="L107" s="417"/>
      <c r="M107" s="417"/>
      <c r="N107" s="414"/>
      <c r="O107" s="415"/>
      <c r="P107" s="417"/>
      <c r="Q107" s="415">
        <f t="shared" si="3"/>
        <v>0</v>
      </c>
    </row>
    <row r="108" spans="1:17" ht="21.75" x14ac:dyDescent="0.5">
      <c r="A108" s="413">
        <v>89</v>
      </c>
      <c r="B108" s="413"/>
      <c r="C108" s="416" t="s">
        <v>2582</v>
      </c>
      <c r="D108" s="417"/>
      <c r="E108" s="417"/>
      <c r="F108" s="417"/>
      <c r="G108" s="417"/>
      <c r="H108" s="417"/>
      <c r="I108" s="415"/>
      <c r="J108" s="417"/>
      <c r="K108" s="415"/>
      <c r="L108" s="417"/>
      <c r="M108" s="417"/>
      <c r="N108" s="414"/>
      <c r="O108" s="415"/>
      <c r="P108" s="417"/>
      <c r="Q108" s="415">
        <f t="shared" si="3"/>
        <v>0</v>
      </c>
    </row>
    <row r="109" spans="1:17" ht="21.75" x14ac:dyDescent="0.5">
      <c r="A109" s="413">
        <v>90</v>
      </c>
      <c r="B109" s="413"/>
      <c r="C109" s="416" t="s">
        <v>2583</v>
      </c>
      <c r="D109" s="417"/>
      <c r="E109" s="417"/>
      <c r="F109" s="417"/>
      <c r="G109" s="417"/>
      <c r="H109" s="417"/>
      <c r="I109" s="417"/>
      <c r="J109" s="417"/>
      <c r="K109" s="415"/>
      <c r="L109" s="417"/>
      <c r="M109" s="417"/>
      <c r="N109" s="414"/>
      <c r="O109" s="415"/>
      <c r="P109" s="417"/>
      <c r="Q109" s="415">
        <f t="shared" si="3"/>
        <v>0</v>
      </c>
    </row>
    <row r="110" spans="1:17" ht="21.75" x14ac:dyDescent="0.5">
      <c r="A110" s="413"/>
      <c r="B110" s="413"/>
      <c r="C110" s="416" t="s">
        <v>2584</v>
      </c>
      <c r="D110" s="417"/>
      <c r="E110" s="417"/>
      <c r="F110" s="417"/>
      <c r="G110" s="417"/>
      <c r="H110" s="417"/>
      <c r="I110" s="417"/>
      <c r="J110" s="417"/>
      <c r="K110" s="415"/>
      <c r="L110" s="417"/>
      <c r="M110" s="417"/>
      <c r="N110" s="414"/>
      <c r="O110" s="415"/>
      <c r="P110" s="417"/>
      <c r="Q110" s="415"/>
    </row>
    <row r="111" spans="1:17" ht="21.75" x14ac:dyDescent="0.5">
      <c r="A111" s="413">
        <v>91</v>
      </c>
      <c r="B111" s="413"/>
      <c r="C111" s="416" t="s">
        <v>2585</v>
      </c>
      <c r="D111" s="417"/>
      <c r="E111" s="417"/>
      <c r="F111" s="417"/>
      <c r="G111" s="417"/>
      <c r="H111" s="417"/>
      <c r="I111" s="417"/>
      <c r="J111" s="417"/>
      <c r="K111" s="415"/>
      <c r="L111" s="417"/>
      <c r="M111" s="417"/>
      <c r="N111" s="414"/>
      <c r="O111" s="415"/>
      <c r="P111" s="417"/>
      <c r="Q111" s="415">
        <f>SUM(D111:P111)</f>
        <v>0</v>
      </c>
    </row>
    <row r="112" spans="1:17" ht="21.75" x14ac:dyDescent="0.5">
      <c r="A112" s="413">
        <v>92</v>
      </c>
      <c r="B112" s="413"/>
      <c r="C112" s="414" t="s">
        <v>95</v>
      </c>
      <c r="D112" s="417"/>
      <c r="E112" s="417"/>
      <c r="F112" s="417"/>
      <c r="G112" s="417"/>
      <c r="H112" s="417"/>
      <c r="I112" s="417"/>
      <c r="J112" s="417"/>
      <c r="K112" s="415"/>
      <c r="L112" s="417"/>
      <c r="M112" s="417"/>
      <c r="N112" s="414"/>
      <c r="O112" s="415"/>
      <c r="P112" s="417"/>
      <c r="Q112" s="415">
        <f>SUM(D112:P112)</f>
        <v>0</v>
      </c>
    </row>
    <row r="113" spans="1:17" ht="21.75" x14ac:dyDescent="0.5">
      <c r="A113" s="413">
        <v>93</v>
      </c>
      <c r="B113" s="413"/>
      <c r="C113" s="416" t="s">
        <v>2586</v>
      </c>
      <c r="D113" s="417"/>
      <c r="E113" s="417"/>
      <c r="F113" s="417"/>
      <c r="G113" s="417"/>
      <c r="H113" s="417"/>
      <c r="I113" s="417"/>
      <c r="J113" s="417"/>
      <c r="K113" s="415"/>
      <c r="L113" s="417"/>
      <c r="M113" s="417"/>
      <c r="N113" s="414"/>
      <c r="O113" s="415"/>
      <c r="P113" s="417"/>
      <c r="Q113" s="415">
        <f>SUM(D113:P113)</f>
        <v>0</v>
      </c>
    </row>
    <row r="114" spans="1:17" ht="21.75" x14ac:dyDescent="0.5">
      <c r="A114" s="413">
        <v>94</v>
      </c>
      <c r="B114" s="413"/>
      <c r="C114" s="416" t="s">
        <v>2587</v>
      </c>
      <c r="D114" s="417"/>
      <c r="E114" s="417"/>
      <c r="F114" s="417"/>
      <c r="G114" s="417"/>
      <c r="H114" s="417"/>
      <c r="I114" s="417"/>
      <c r="J114" s="417"/>
      <c r="K114" s="417"/>
      <c r="L114" s="417"/>
      <c r="M114" s="417"/>
      <c r="N114" s="414"/>
      <c r="O114" s="415"/>
      <c r="P114" s="417"/>
      <c r="Q114" s="415">
        <f>SUM(D114:P114)</f>
        <v>0</v>
      </c>
    </row>
    <row r="115" spans="1:17" ht="21.75" x14ac:dyDescent="0.5">
      <c r="A115" s="413"/>
      <c r="B115" s="413"/>
      <c r="C115" s="418" t="s">
        <v>2085</v>
      </c>
      <c r="D115" s="417"/>
      <c r="E115" s="417"/>
      <c r="F115" s="417"/>
      <c r="G115" s="417"/>
      <c r="H115" s="417"/>
      <c r="I115" s="417"/>
      <c r="J115" s="417"/>
      <c r="K115" s="417"/>
      <c r="L115" s="417"/>
      <c r="M115" s="417"/>
      <c r="N115" s="414"/>
      <c r="O115" s="417"/>
      <c r="P115" s="417"/>
      <c r="Q115" s="415"/>
    </row>
    <row r="116" spans="1:17" ht="21.75" x14ac:dyDescent="0.5">
      <c r="A116" s="413">
        <v>95</v>
      </c>
      <c r="B116" s="413"/>
      <c r="C116" s="416" t="s">
        <v>2588</v>
      </c>
      <c r="D116" s="417"/>
      <c r="E116" s="417"/>
      <c r="F116" s="417"/>
      <c r="G116" s="417"/>
      <c r="H116" s="417"/>
      <c r="I116" s="417"/>
      <c r="J116" s="417"/>
      <c r="K116" s="417"/>
      <c r="L116" s="417"/>
      <c r="M116" s="417"/>
      <c r="N116" s="414"/>
      <c r="O116" s="415"/>
      <c r="P116" s="417"/>
      <c r="Q116" s="415">
        <f t="shared" ref="Q116:Q139" si="4">SUM(D116:P116)</f>
        <v>0</v>
      </c>
    </row>
    <row r="117" spans="1:17" ht="21.75" x14ac:dyDescent="0.5">
      <c r="A117" s="413">
        <v>96</v>
      </c>
      <c r="B117" s="413"/>
      <c r="C117" s="416" t="s">
        <v>2589</v>
      </c>
      <c r="D117" s="417"/>
      <c r="E117" s="417"/>
      <c r="F117" s="415"/>
      <c r="G117" s="417"/>
      <c r="H117" s="417"/>
      <c r="I117" s="417"/>
      <c r="J117" s="417"/>
      <c r="K117" s="417"/>
      <c r="L117" s="417"/>
      <c r="M117" s="417"/>
      <c r="N117" s="414"/>
      <c r="O117" s="415"/>
      <c r="P117" s="417"/>
      <c r="Q117" s="415">
        <f t="shared" si="4"/>
        <v>0</v>
      </c>
    </row>
    <row r="118" spans="1:17" ht="21.75" x14ac:dyDescent="0.5">
      <c r="A118" s="413">
        <v>97</v>
      </c>
      <c r="B118" s="413"/>
      <c r="C118" s="416" t="s">
        <v>2590</v>
      </c>
      <c r="D118" s="417"/>
      <c r="E118" s="417"/>
      <c r="F118" s="415"/>
      <c r="G118" s="417"/>
      <c r="H118" s="417"/>
      <c r="I118" s="417"/>
      <c r="J118" s="417"/>
      <c r="K118" s="417"/>
      <c r="L118" s="417"/>
      <c r="M118" s="417"/>
      <c r="N118" s="414"/>
      <c r="O118" s="415"/>
      <c r="P118" s="417"/>
      <c r="Q118" s="415">
        <f t="shared" si="4"/>
        <v>0</v>
      </c>
    </row>
    <row r="119" spans="1:17" ht="21.75" x14ac:dyDescent="0.5">
      <c r="A119" s="413">
        <v>98</v>
      </c>
      <c r="B119" s="413"/>
      <c r="C119" s="416" t="s">
        <v>472</v>
      </c>
      <c r="D119" s="417"/>
      <c r="E119" s="417"/>
      <c r="F119" s="415"/>
      <c r="G119" s="417"/>
      <c r="H119" s="417"/>
      <c r="I119" s="417"/>
      <c r="J119" s="417"/>
      <c r="K119" s="417"/>
      <c r="L119" s="417"/>
      <c r="M119" s="417"/>
      <c r="N119" s="414"/>
      <c r="O119" s="415"/>
      <c r="P119" s="417"/>
      <c r="Q119" s="415">
        <f t="shared" si="4"/>
        <v>0</v>
      </c>
    </row>
    <row r="120" spans="1:17" ht="21.75" x14ac:dyDescent="0.5">
      <c r="A120" s="413">
        <v>99</v>
      </c>
      <c r="B120" s="413"/>
      <c r="C120" s="416" t="s">
        <v>2591</v>
      </c>
      <c r="D120" s="417"/>
      <c r="E120" s="415"/>
      <c r="F120" s="417"/>
      <c r="G120" s="417"/>
      <c r="H120" s="417"/>
      <c r="I120" s="417"/>
      <c r="J120" s="417"/>
      <c r="K120" s="417"/>
      <c r="L120" s="417"/>
      <c r="M120" s="417"/>
      <c r="N120" s="414"/>
      <c r="O120" s="415"/>
      <c r="P120" s="417"/>
      <c r="Q120" s="415">
        <f t="shared" si="4"/>
        <v>0</v>
      </c>
    </row>
    <row r="121" spans="1:17" ht="21.75" x14ac:dyDescent="0.5">
      <c r="A121" s="413">
        <v>100</v>
      </c>
      <c r="B121" s="413" t="s">
        <v>251</v>
      </c>
      <c r="C121" s="416" t="s">
        <v>2130</v>
      </c>
      <c r="D121" s="417"/>
      <c r="E121" s="415"/>
      <c r="F121" s="415"/>
      <c r="G121" s="417"/>
      <c r="H121" s="417"/>
      <c r="I121" s="417"/>
      <c r="J121" s="417"/>
      <c r="K121" s="415"/>
      <c r="L121" s="417"/>
      <c r="M121" s="417"/>
      <c r="N121" s="414"/>
      <c r="O121" s="415"/>
      <c r="P121" s="417"/>
      <c r="Q121" s="415">
        <f t="shared" si="4"/>
        <v>0</v>
      </c>
    </row>
    <row r="122" spans="1:17" ht="21.75" x14ac:dyDescent="0.5">
      <c r="A122" s="413">
        <v>101</v>
      </c>
      <c r="B122" s="413"/>
      <c r="C122" s="416" t="s">
        <v>169</v>
      </c>
      <c r="D122" s="417"/>
      <c r="E122" s="417"/>
      <c r="F122" s="415"/>
      <c r="G122" s="417"/>
      <c r="H122" s="417"/>
      <c r="I122" s="417"/>
      <c r="J122" s="417"/>
      <c r="K122" s="415"/>
      <c r="L122" s="417"/>
      <c r="M122" s="417"/>
      <c r="N122" s="414"/>
      <c r="O122" s="415"/>
      <c r="P122" s="417"/>
      <c r="Q122" s="415">
        <f t="shared" si="4"/>
        <v>0</v>
      </c>
    </row>
    <row r="123" spans="1:17" ht="21.75" x14ac:dyDescent="0.5">
      <c r="A123" s="413">
        <v>102</v>
      </c>
      <c r="B123" s="413"/>
      <c r="C123" s="414" t="s">
        <v>2163</v>
      </c>
      <c r="D123" s="417"/>
      <c r="E123" s="417"/>
      <c r="F123" s="417"/>
      <c r="G123" s="417"/>
      <c r="H123" s="417"/>
      <c r="I123" s="417"/>
      <c r="J123" s="417"/>
      <c r="K123" s="415"/>
      <c r="L123" s="417"/>
      <c r="M123" s="417"/>
      <c r="N123" s="414"/>
      <c r="O123" s="415"/>
      <c r="P123" s="417"/>
      <c r="Q123" s="415">
        <f t="shared" si="4"/>
        <v>0</v>
      </c>
    </row>
    <row r="124" spans="1:17" ht="21.75" x14ac:dyDescent="0.5">
      <c r="A124" s="413">
        <v>103</v>
      </c>
      <c r="B124" s="413"/>
      <c r="C124" s="414" t="s">
        <v>2592</v>
      </c>
      <c r="D124" s="417"/>
      <c r="E124" s="415"/>
      <c r="F124" s="417"/>
      <c r="G124" s="417"/>
      <c r="H124" s="417"/>
      <c r="I124" s="417"/>
      <c r="J124" s="417"/>
      <c r="K124" s="415"/>
      <c r="L124" s="417"/>
      <c r="M124" s="417"/>
      <c r="N124" s="414"/>
      <c r="O124" s="415"/>
      <c r="P124" s="417"/>
      <c r="Q124" s="415">
        <f t="shared" si="4"/>
        <v>0</v>
      </c>
    </row>
    <row r="125" spans="1:17" ht="21.75" x14ac:dyDescent="0.5">
      <c r="A125" s="413">
        <v>104</v>
      </c>
      <c r="B125" s="413"/>
      <c r="C125" s="414" t="s">
        <v>2593</v>
      </c>
      <c r="D125" s="417"/>
      <c r="E125" s="415"/>
      <c r="F125" s="417"/>
      <c r="G125" s="417"/>
      <c r="H125" s="417"/>
      <c r="I125" s="417"/>
      <c r="J125" s="417"/>
      <c r="K125" s="417"/>
      <c r="L125" s="417"/>
      <c r="M125" s="417"/>
      <c r="N125" s="414"/>
      <c r="O125" s="415"/>
      <c r="P125" s="417"/>
      <c r="Q125" s="415">
        <f t="shared" si="4"/>
        <v>0</v>
      </c>
    </row>
    <row r="126" spans="1:17" ht="21.75" x14ac:dyDescent="0.5">
      <c r="A126" s="413">
        <v>105</v>
      </c>
      <c r="B126" s="413"/>
      <c r="C126" s="414" t="s">
        <v>2594</v>
      </c>
      <c r="D126" s="417"/>
      <c r="E126" s="415"/>
      <c r="F126" s="417"/>
      <c r="G126" s="417"/>
      <c r="H126" s="417"/>
      <c r="I126" s="417"/>
      <c r="J126" s="417"/>
      <c r="K126" s="415"/>
      <c r="L126" s="417"/>
      <c r="M126" s="417"/>
      <c r="N126" s="414"/>
      <c r="O126" s="415"/>
      <c r="P126" s="417"/>
      <c r="Q126" s="415">
        <f t="shared" si="4"/>
        <v>0</v>
      </c>
    </row>
    <row r="127" spans="1:17" ht="21.75" x14ac:dyDescent="0.5">
      <c r="A127" s="413">
        <v>106</v>
      </c>
      <c r="B127" s="413" t="s">
        <v>251</v>
      </c>
      <c r="C127" s="414" t="s">
        <v>2595</v>
      </c>
      <c r="D127" s="417"/>
      <c r="E127" s="415"/>
      <c r="F127" s="417"/>
      <c r="G127" s="417"/>
      <c r="H127" s="417"/>
      <c r="I127" s="417"/>
      <c r="J127" s="417"/>
      <c r="K127" s="417"/>
      <c r="L127" s="417"/>
      <c r="M127" s="417"/>
      <c r="N127" s="414"/>
      <c r="O127" s="415"/>
      <c r="P127" s="417"/>
      <c r="Q127" s="415">
        <f t="shared" si="4"/>
        <v>0</v>
      </c>
    </row>
    <row r="128" spans="1:17" ht="21.75" x14ac:dyDescent="0.5">
      <c r="A128" s="413">
        <v>107</v>
      </c>
      <c r="B128" s="413" t="s">
        <v>251</v>
      </c>
      <c r="C128" s="416" t="s">
        <v>2596</v>
      </c>
      <c r="D128" s="417"/>
      <c r="E128" s="417"/>
      <c r="F128" s="417"/>
      <c r="G128" s="417"/>
      <c r="H128" s="417"/>
      <c r="I128" s="417"/>
      <c r="J128" s="417"/>
      <c r="K128" s="417"/>
      <c r="L128" s="417"/>
      <c r="M128" s="417"/>
      <c r="N128" s="414"/>
      <c r="O128" s="415"/>
      <c r="P128" s="417"/>
      <c r="Q128" s="415">
        <f t="shared" si="4"/>
        <v>0</v>
      </c>
    </row>
    <row r="129" spans="1:17" ht="21.75" x14ac:dyDescent="0.5">
      <c r="A129" s="413">
        <v>108</v>
      </c>
      <c r="B129" s="413" t="s">
        <v>251</v>
      </c>
      <c r="C129" s="416" t="s">
        <v>2597</v>
      </c>
      <c r="D129" s="417"/>
      <c r="E129" s="417"/>
      <c r="F129" s="417"/>
      <c r="G129" s="417"/>
      <c r="H129" s="417"/>
      <c r="I129" s="417"/>
      <c r="J129" s="417"/>
      <c r="K129" s="417"/>
      <c r="L129" s="417"/>
      <c r="M129" s="417"/>
      <c r="N129" s="414"/>
      <c r="O129" s="415"/>
      <c r="P129" s="417"/>
      <c r="Q129" s="415">
        <f t="shared" si="4"/>
        <v>0</v>
      </c>
    </row>
    <row r="130" spans="1:17" ht="21.75" x14ac:dyDescent="0.5">
      <c r="A130" s="413">
        <v>109</v>
      </c>
      <c r="B130" s="413" t="s">
        <v>251</v>
      </c>
      <c r="C130" s="416" t="s">
        <v>2129</v>
      </c>
      <c r="D130" s="417"/>
      <c r="E130" s="417"/>
      <c r="F130" s="417"/>
      <c r="G130" s="417"/>
      <c r="H130" s="417"/>
      <c r="I130" s="417"/>
      <c r="J130" s="417"/>
      <c r="K130" s="415"/>
      <c r="L130" s="417"/>
      <c r="M130" s="417"/>
      <c r="N130" s="414"/>
      <c r="O130" s="417"/>
      <c r="P130" s="417"/>
      <c r="Q130" s="415">
        <f t="shared" si="4"/>
        <v>0</v>
      </c>
    </row>
    <row r="131" spans="1:17" ht="21.75" x14ac:dyDescent="0.5">
      <c r="A131" s="413">
        <v>110</v>
      </c>
      <c r="B131" s="419"/>
      <c r="C131" s="416" t="s">
        <v>2598</v>
      </c>
      <c r="D131" s="417"/>
      <c r="E131" s="417"/>
      <c r="F131" s="417"/>
      <c r="G131" s="417"/>
      <c r="H131" s="417"/>
      <c r="I131" s="417"/>
      <c r="J131" s="417"/>
      <c r="K131" s="415"/>
      <c r="L131" s="417"/>
      <c r="M131" s="417"/>
      <c r="N131" s="414"/>
      <c r="O131" s="417"/>
      <c r="P131" s="417"/>
      <c r="Q131" s="415">
        <f t="shared" si="4"/>
        <v>0</v>
      </c>
    </row>
    <row r="132" spans="1:17" ht="21.75" x14ac:dyDescent="0.5">
      <c r="A132" s="413">
        <v>111</v>
      </c>
      <c r="B132" s="414" t="s">
        <v>2152</v>
      </c>
      <c r="C132" s="416" t="s">
        <v>2238</v>
      </c>
      <c r="D132" s="417"/>
      <c r="E132" s="417"/>
      <c r="F132" s="417"/>
      <c r="G132" s="417"/>
      <c r="H132" s="417"/>
      <c r="I132" s="417"/>
      <c r="J132" s="417"/>
      <c r="K132" s="415"/>
      <c r="L132" s="417"/>
      <c r="M132" s="417"/>
      <c r="N132" s="414"/>
      <c r="O132" s="415"/>
      <c r="P132" s="417"/>
      <c r="Q132" s="415">
        <f t="shared" si="4"/>
        <v>0</v>
      </c>
    </row>
    <row r="133" spans="1:17" ht="21.75" x14ac:dyDescent="0.5">
      <c r="A133" s="413">
        <v>112</v>
      </c>
      <c r="B133" s="414"/>
      <c r="C133" s="416" t="s">
        <v>2599</v>
      </c>
      <c r="D133" s="417"/>
      <c r="E133" s="417"/>
      <c r="F133" s="415"/>
      <c r="G133" s="417"/>
      <c r="H133" s="417"/>
      <c r="I133" s="417"/>
      <c r="J133" s="417"/>
      <c r="K133" s="417"/>
      <c r="L133" s="417"/>
      <c r="M133" s="417"/>
      <c r="N133" s="414"/>
      <c r="O133" s="415"/>
      <c r="P133" s="417"/>
      <c r="Q133" s="415">
        <f t="shared" si="4"/>
        <v>0</v>
      </c>
    </row>
    <row r="134" spans="1:17" ht="21.75" x14ac:dyDescent="0.5">
      <c r="A134" s="413">
        <v>113</v>
      </c>
      <c r="B134" s="414"/>
      <c r="C134" s="416" t="s">
        <v>2600</v>
      </c>
      <c r="D134" s="417"/>
      <c r="E134" s="417"/>
      <c r="F134" s="417"/>
      <c r="G134" s="417"/>
      <c r="H134" s="417"/>
      <c r="I134" s="417"/>
      <c r="J134" s="417"/>
      <c r="K134" s="415"/>
      <c r="L134" s="417"/>
      <c r="M134" s="417"/>
      <c r="N134" s="414"/>
      <c r="O134" s="415"/>
      <c r="P134" s="417"/>
      <c r="Q134" s="415">
        <f t="shared" si="4"/>
        <v>0</v>
      </c>
    </row>
    <row r="135" spans="1:17" ht="21.75" x14ac:dyDescent="0.5">
      <c r="A135" s="413">
        <v>114</v>
      </c>
      <c r="B135" s="414"/>
      <c r="C135" s="416" t="s">
        <v>2601</v>
      </c>
      <c r="D135" s="417"/>
      <c r="E135" s="417"/>
      <c r="F135" s="417"/>
      <c r="G135" s="417"/>
      <c r="H135" s="417"/>
      <c r="I135" s="417"/>
      <c r="J135" s="417"/>
      <c r="K135" s="417"/>
      <c r="L135" s="417"/>
      <c r="M135" s="417"/>
      <c r="N135" s="414"/>
      <c r="O135" s="415"/>
      <c r="P135" s="417"/>
      <c r="Q135" s="415">
        <f t="shared" si="4"/>
        <v>0</v>
      </c>
    </row>
    <row r="136" spans="1:17" ht="21.75" x14ac:dyDescent="0.5">
      <c r="A136" s="413">
        <v>115</v>
      </c>
      <c r="B136" s="414"/>
      <c r="C136" s="416" t="s">
        <v>2168</v>
      </c>
      <c r="D136" s="417"/>
      <c r="E136" s="417"/>
      <c r="F136" s="417"/>
      <c r="G136" s="417"/>
      <c r="H136" s="417"/>
      <c r="I136" s="417"/>
      <c r="J136" s="417"/>
      <c r="K136" s="417"/>
      <c r="L136" s="417"/>
      <c r="M136" s="417"/>
      <c r="N136" s="414"/>
      <c r="O136" s="415"/>
      <c r="P136" s="417"/>
      <c r="Q136" s="415">
        <f t="shared" si="4"/>
        <v>0</v>
      </c>
    </row>
    <row r="137" spans="1:17" ht="21.75" x14ac:dyDescent="0.5">
      <c r="A137" s="413">
        <v>116</v>
      </c>
      <c r="B137" s="414"/>
      <c r="C137" s="416" t="s">
        <v>2241</v>
      </c>
      <c r="D137" s="417"/>
      <c r="E137" s="417"/>
      <c r="F137" s="417"/>
      <c r="G137" s="417"/>
      <c r="H137" s="417"/>
      <c r="I137" s="417"/>
      <c r="J137" s="417"/>
      <c r="K137" s="415"/>
      <c r="L137" s="417"/>
      <c r="M137" s="417"/>
      <c r="N137" s="414"/>
      <c r="O137" s="415"/>
      <c r="P137" s="417"/>
      <c r="Q137" s="415">
        <f t="shared" si="4"/>
        <v>0</v>
      </c>
    </row>
    <row r="138" spans="1:17" ht="21.75" x14ac:dyDescent="0.5">
      <c r="A138" s="413">
        <v>117</v>
      </c>
      <c r="B138" s="414"/>
      <c r="C138" s="416" t="s">
        <v>2602</v>
      </c>
      <c r="D138" s="417"/>
      <c r="E138" s="417"/>
      <c r="F138" s="417"/>
      <c r="G138" s="417"/>
      <c r="H138" s="417"/>
      <c r="I138" s="417"/>
      <c r="J138" s="417"/>
      <c r="K138" s="415"/>
      <c r="L138" s="417"/>
      <c r="M138" s="417"/>
      <c r="N138" s="414"/>
      <c r="O138" s="415"/>
      <c r="P138" s="417"/>
      <c r="Q138" s="415">
        <f t="shared" si="4"/>
        <v>0</v>
      </c>
    </row>
    <row r="139" spans="1:17" ht="21.75" x14ac:dyDescent="0.5">
      <c r="A139" s="413">
        <v>118</v>
      </c>
      <c r="B139" s="413" t="s">
        <v>251</v>
      </c>
      <c r="C139" s="416" t="s">
        <v>2603</v>
      </c>
      <c r="D139" s="417"/>
      <c r="E139" s="417"/>
      <c r="F139" s="417"/>
      <c r="G139" s="417"/>
      <c r="H139" s="417"/>
      <c r="I139" s="417"/>
      <c r="J139" s="417"/>
      <c r="K139" s="417"/>
      <c r="L139" s="417"/>
      <c r="M139" s="417"/>
      <c r="N139" s="414"/>
      <c r="O139" s="415"/>
      <c r="P139" s="417"/>
      <c r="Q139" s="415">
        <f t="shared" si="4"/>
        <v>0</v>
      </c>
    </row>
    <row r="140" spans="1:17" ht="21.75" x14ac:dyDescent="0.5">
      <c r="A140" s="413"/>
      <c r="B140" s="413"/>
      <c r="C140" s="418" t="s">
        <v>2604</v>
      </c>
      <c r="D140" s="417"/>
      <c r="E140" s="417"/>
      <c r="F140" s="417"/>
      <c r="G140" s="417"/>
      <c r="H140" s="417"/>
      <c r="I140" s="417"/>
      <c r="J140" s="417"/>
      <c r="K140" s="415"/>
      <c r="L140" s="417"/>
      <c r="M140" s="417"/>
      <c r="N140" s="414"/>
      <c r="O140" s="415"/>
      <c r="P140" s="417"/>
      <c r="Q140" s="415"/>
    </row>
    <row r="141" spans="1:17" ht="21.75" x14ac:dyDescent="0.5">
      <c r="A141" s="413">
        <v>119</v>
      </c>
      <c r="B141" s="413" t="s">
        <v>28</v>
      </c>
      <c r="C141" s="416" t="s">
        <v>175</v>
      </c>
      <c r="D141" s="417"/>
      <c r="E141" s="417"/>
      <c r="F141" s="417"/>
      <c r="G141" s="417"/>
      <c r="H141" s="417"/>
      <c r="I141" s="417"/>
      <c r="J141" s="417"/>
      <c r="K141" s="417"/>
      <c r="L141" s="417"/>
      <c r="M141" s="417"/>
      <c r="N141" s="414"/>
      <c r="O141" s="415"/>
      <c r="P141" s="417"/>
      <c r="Q141" s="415">
        <f t="shared" ref="Q141:Q160" si="5">SUM(D141:P141)</f>
        <v>0</v>
      </c>
    </row>
    <row r="142" spans="1:17" ht="21.75" x14ac:dyDescent="0.5">
      <c r="A142" s="413">
        <v>120</v>
      </c>
      <c r="B142" s="414" t="s">
        <v>2111</v>
      </c>
      <c r="C142" s="416" t="s">
        <v>2605</v>
      </c>
      <c r="D142" s="417"/>
      <c r="E142" s="417"/>
      <c r="F142" s="417"/>
      <c r="G142" s="417"/>
      <c r="H142" s="417"/>
      <c r="I142" s="417"/>
      <c r="J142" s="417"/>
      <c r="K142" s="417"/>
      <c r="L142" s="417"/>
      <c r="M142" s="417"/>
      <c r="N142" s="414"/>
      <c r="O142" s="415"/>
      <c r="P142" s="417"/>
      <c r="Q142" s="415">
        <f t="shared" si="5"/>
        <v>0</v>
      </c>
    </row>
    <row r="143" spans="1:17" ht="21.75" x14ac:dyDescent="0.5">
      <c r="A143" s="413">
        <v>121</v>
      </c>
      <c r="B143" s="414" t="s">
        <v>2111</v>
      </c>
      <c r="C143" s="416" t="s">
        <v>2606</v>
      </c>
      <c r="D143" s="417"/>
      <c r="E143" s="417"/>
      <c r="F143" s="417"/>
      <c r="G143" s="417"/>
      <c r="H143" s="417"/>
      <c r="I143" s="417"/>
      <c r="J143" s="417"/>
      <c r="K143" s="415"/>
      <c r="L143" s="417"/>
      <c r="M143" s="417"/>
      <c r="N143" s="414"/>
      <c r="O143" s="415"/>
      <c r="P143" s="417"/>
      <c r="Q143" s="415">
        <f t="shared" si="5"/>
        <v>0</v>
      </c>
    </row>
    <row r="144" spans="1:17" ht="21.75" x14ac:dyDescent="0.5">
      <c r="A144" s="413">
        <v>122</v>
      </c>
      <c r="B144" s="414"/>
      <c r="C144" s="416" t="s">
        <v>2607</v>
      </c>
      <c r="D144" s="417"/>
      <c r="E144" s="417"/>
      <c r="F144" s="417"/>
      <c r="G144" s="417"/>
      <c r="H144" s="417"/>
      <c r="I144" s="417"/>
      <c r="J144" s="417"/>
      <c r="K144" s="417"/>
      <c r="L144" s="417"/>
      <c r="M144" s="417"/>
      <c r="N144" s="414"/>
      <c r="O144" s="415"/>
      <c r="P144" s="417"/>
      <c r="Q144" s="415">
        <f t="shared" si="5"/>
        <v>0</v>
      </c>
    </row>
    <row r="145" spans="1:17" ht="21.75" x14ac:dyDescent="0.5">
      <c r="A145" s="413">
        <v>123</v>
      </c>
      <c r="B145" s="413"/>
      <c r="C145" s="416" t="s">
        <v>2608</v>
      </c>
      <c r="D145" s="417"/>
      <c r="E145" s="417"/>
      <c r="F145" s="417"/>
      <c r="G145" s="417"/>
      <c r="H145" s="417"/>
      <c r="I145" s="417"/>
      <c r="J145" s="417"/>
      <c r="K145" s="415"/>
      <c r="L145" s="417"/>
      <c r="M145" s="417"/>
      <c r="N145" s="414"/>
      <c r="O145" s="415"/>
      <c r="P145" s="417"/>
      <c r="Q145" s="415">
        <f t="shared" si="5"/>
        <v>0</v>
      </c>
    </row>
    <row r="146" spans="1:17" ht="21.75" x14ac:dyDescent="0.5">
      <c r="A146" s="413">
        <v>124</v>
      </c>
      <c r="B146" s="413"/>
      <c r="C146" s="416" t="s">
        <v>2609</v>
      </c>
      <c r="D146" s="417"/>
      <c r="E146" s="417"/>
      <c r="F146" s="417"/>
      <c r="G146" s="417"/>
      <c r="H146" s="417"/>
      <c r="I146" s="417"/>
      <c r="J146" s="417"/>
      <c r="K146" s="417"/>
      <c r="L146" s="417"/>
      <c r="M146" s="417"/>
      <c r="N146" s="414"/>
      <c r="O146" s="417"/>
      <c r="P146" s="417"/>
      <c r="Q146" s="415">
        <f t="shared" si="5"/>
        <v>0</v>
      </c>
    </row>
    <row r="147" spans="1:17" ht="21.75" x14ac:dyDescent="0.5">
      <c r="A147" s="413">
        <v>125</v>
      </c>
      <c r="B147" s="413"/>
      <c r="C147" s="416" t="s">
        <v>2610</v>
      </c>
      <c r="D147" s="417"/>
      <c r="E147" s="417"/>
      <c r="F147" s="417"/>
      <c r="G147" s="417"/>
      <c r="H147" s="417"/>
      <c r="I147" s="417"/>
      <c r="J147" s="417"/>
      <c r="K147" s="417"/>
      <c r="L147" s="417"/>
      <c r="M147" s="417"/>
      <c r="N147" s="414"/>
      <c r="O147" s="415"/>
      <c r="P147" s="417"/>
      <c r="Q147" s="415">
        <f t="shared" si="5"/>
        <v>0</v>
      </c>
    </row>
    <row r="148" spans="1:17" ht="21.75" x14ac:dyDescent="0.5">
      <c r="A148" s="413">
        <v>126</v>
      </c>
      <c r="B148" s="413"/>
      <c r="C148" s="416" t="s">
        <v>2611</v>
      </c>
      <c r="D148" s="417"/>
      <c r="E148" s="417"/>
      <c r="F148" s="417"/>
      <c r="G148" s="417"/>
      <c r="H148" s="417"/>
      <c r="I148" s="417"/>
      <c r="J148" s="417"/>
      <c r="K148" s="417"/>
      <c r="L148" s="417"/>
      <c r="M148" s="417"/>
      <c r="N148" s="414"/>
      <c r="O148" s="415"/>
      <c r="P148" s="417"/>
      <c r="Q148" s="415">
        <f t="shared" si="5"/>
        <v>0</v>
      </c>
    </row>
    <row r="149" spans="1:17" ht="21.75" x14ac:dyDescent="0.5">
      <c r="A149" s="413">
        <v>127</v>
      </c>
      <c r="B149" s="413"/>
      <c r="C149" s="416" t="s">
        <v>2612</v>
      </c>
      <c r="D149" s="417"/>
      <c r="E149" s="417"/>
      <c r="F149" s="417"/>
      <c r="G149" s="417"/>
      <c r="H149" s="417"/>
      <c r="I149" s="417"/>
      <c r="J149" s="417"/>
      <c r="K149" s="417"/>
      <c r="L149" s="417"/>
      <c r="M149" s="417"/>
      <c r="N149" s="414"/>
      <c r="O149" s="415"/>
      <c r="P149" s="417"/>
      <c r="Q149" s="415">
        <f t="shared" si="5"/>
        <v>0</v>
      </c>
    </row>
    <row r="150" spans="1:17" ht="21.75" x14ac:dyDescent="0.5">
      <c r="A150" s="413">
        <v>128</v>
      </c>
      <c r="B150" s="414"/>
      <c r="C150" s="416" t="s">
        <v>2613</v>
      </c>
      <c r="D150" s="417"/>
      <c r="E150" s="417"/>
      <c r="F150" s="417"/>
      <c r="G150" s="417"/>
      <c r="H150" s="417"/>
      <c r="I150" s="417"/>
      <c r="J150" s="417"/>
      <c r="K150" s="417"/>
      <c r="L150" s="417"/>
      <c r="M150" s="417"/>
      <c r="N150" s="414"/>
      <c r="O150" s="415"/>
      <c r="P150" s="417"/>
      <c r="Q150" s="415">
        <f t="shared" si="5"/>
        <v>0</v>
      </c>
    </row>
    <row r="151" spans="1:17" ht="21.75" x14ac:dyDescent="0.5">
      <c r="A151" s="413">
        <v>129</v>
      </c>
      <c r="B151" s="413"/>
      <c r="C151" s="416" t="s">
        <v>2222</v>
      </c>
      <c r="D151" s="417"/>
      <c r="E151" s="417"/>
      <c r="F151" s="417"/>
      <c r="G151" s="417"/>
      <c r="H151" s="417"/>
      <c r="I151" s="417"/>
      <c r="J151" s="417"/>
      <c r="K151" s="417"/>
      <c r="L151" s="417"/>
      <c r="M151" s="417"/>
      <c r="N151" s="414"/>
      <c r="O151" s="415"/>
      <c r="P151" s="417"/>
      <c r="Q151" s="415">
        <f t="shared" si="5"/>
        <v>0</v>
      </c>
    </row>
    <row r="152" spans="1:17" ht="21.75" x14ac:dyDescent="0.5">
      <c r="A152" s="413">
        <v>130</v>
      </c>
      <c r="B152" s="413" t="s">
        <v>2132</v>
      </c>
      <c r="C152" s="416" t="s">
        <v>2244</v>
      </c>
      <c r="D152" s="417"/>
      <c r="E152" s="417"/>
      <c r="F152" s="417"/>
      <c r="G152" s="417"/>
      <c r="H152" s="417"/>
      <c r="I152" s="417"/>
      <c r="J152" s="417"/>
      <c r="K152" s="415"/>
      <c r="L152" s="417"/>
      <c r="M152" s="417"/>
      <c r="N152" s="414"/>
      <c r="O152" s="415"/>
      <c r="P152" s="417"/>
      <c r="Q152" s="415">
        <f t="shared" si="5"/>
        <v>0</v>
      </c>
    </row>
    <row r="153" spans="1:17" ht="21.75" x14ac:dyDescent="0.5">
      <c r="A153" s="413">
        <v>131</v>
      </c>
      <c r="B153" s="413"/>
      <c r="C153" s="416" t="s">
        <v>2614</v>
      </c>
      <c r="D153" s="417"/>
      <c r="E153" s="417"/>
      <c r="F153" s="417"/>
      <c r="G153" s="417"/>
      <c r="H153" s="417"/>
      <c r="I153" s="417"/>
      <c r="J153" s="417"/>
      <c r="K153" s="417"/>
      <c r="L153" s="417"/>
      <c r="M153" s="417"/>
      <c r="N153" s="414"/>
      <c r="O153" s="415"/>
      <c r="P153" s="417"/>
      <c r="Q153" s="415">
        <f t="shared" si="5"/>
        <v>0</v>
      </c>
    </row>
    <row r="154" spans="1:17" ht="21.75" x14ac:dyDescent="0.5">
      <c r="A154" s="413">
        <v>132</v>
      </c>
      <c r="B154" s="413"/>
      <c r="C154" s="416" t="s">
        <v>2615</v>
      </c>
      <c r="D154" s="417"/>
      <c r="E154" s="417"/>
      <c r="F154" s="417"/>
      <c r="G154" s="417"/>
      <c r="H154" s="417"/>
      <c r="I154" s="417"/>
      <c r="J154" s="417"/>
      <c r="K154" s="417"/>
      <c r="L154" s="417"/>
      <c r="M154" s="417"/>
      <c r="N154" s="414"/>
      <c r="O154" s="417"/>
      <c r="P154" s="417"/>
      <c r="Q154" s="415">
        <f t="shared" si="5"/>
        <v>0</v>
      </c>
    </row>
    <row r="155" spans="1:17" ht="21.75" x14ac:dyDescent="0.5">
      <c r="A155" s="413">
        <v>133</v>
      </c>
      <c r="B155" s="413"/>
      <c r="C155" s="416" t="s">
        <v>2208</v>
      </c>
      <c r="D155" s="417"/>
      <c r="E155" s="417"/>
      <c r="F155" s="417"/>
      <c r="G155" s="417"/>
      <c r="H155" s="417"/>
      <c r="I155" s="417"/>
      <c r="J155" s="417"/>
      <c r="K155" s="417"/>
      <c r="L155" s="417"/>
      <c r="M155" s="417"/>
      <c r="N155" s="414"/>
      <c r="O155" s="417"/>
      <c r="P155" s="417"/>
      <c r="Q155" s="415">
        <f t="shared" si="5"/>
        <v>0</v>
      </c>
    </row>
    <row r="156" spans="1:17" ht="21.75" x14ac:dyDescent="0.5">
      <c r="A156" s="413">
        <v>134</v>
      </c>
      <c r="B156" s="413"/>
      <c r="C156" s="416" t="s">
        <v>2616</v>
      </c>
      <c r="D156" s="417"/>
      <c r="E156" s="417"/>
      <c r="F156" s="417"/>
      <c r="G156" s="417"/>
      <c r="H156" s="417"/>
      <c r="I156" s="417"/>
      <c r="J156" s="417"/>
      <c r="K156" s="417"/>
      <c r="L156" s="417"/>
      <c r="M156" s="417"/>
      <c r="N156" s="414"/>
      <c r="O156" s="417"/>
      <c r="P156" s="417"/>
      <c r="Q156" s="415">
        <f t="shared" si="5"/>
        <v>0</v>
      </c>
    </row>
    <row r="157" spans="1:17" ht="21.75" x14ac:dyDescent="0.5">
      <c r="A157" s="413">
        <v>135</v>
      </c>
      <c r="B157" s="413"/>
      <c r="C157" s="416" t="s">
        <v>2617</v>
      </c>
      <c r="D157" s="417"/>
      <c r="E157" s="417"/>
      <c r="F157" s="417"/>
      <c r="G157" s="417"/>
      <c r="H157" s="417"/>
      <c r="I157" s="417"/>
      <c r="J157" s="417"/>
      <c r="K157" s="417"/>
      <c r="L157" s="417"/>
      <c r="M157" s="417"/>
      <c r="N157" s="414"/>
      <c r="O157" s="417"/>
      <c r="P157" s="417"/>
      <c r="Q157" s="415">
        <f t="shared" si="5"/>
        <v>0</v>
      </c>
    </row>
    <row r="158" spans="1:17" ht="21.75" x14ac:dyDescent="0.5">
      <c r="A158" s="413">
        <v>136</v>
      </c>
      <c r="B158" s="413"/>
      <c r="C158" s="416" t="s">
        <v>2618</v>
      </c>
      <c r="D158" s="417"/>
      <c r="E158" s="417"/>
      <c r="F158" s="417"/>
      <c r="G158" s="417"/>
      <c r="H158" s="417"/>
      <c r="I158" s="417"/>
      <c r="J158" s="417"/>
      <c r="K158" s="417"/>
      <c r="L158" s="417"/>
      <c r="M158" s="417"/>
      <c r="N158" s="414"/>
      <c r="O158" s="417"/>
      <c r="P158" s="417"/>
      <c r="Q158" s="415">
        <f t="shared" si="5"/>
        <v>0</v>
      </c>
    </row>
    <row r="159" spans="1:17" ht="21.75" x14ac:dyDescent="0.5">
      <c r="A159" s="413">
        <v>137</v>
      </c>
      <c r="B159" s="413"/>
      <c r="C159" s="416" t="s">
        <v>2619</v>
      </c>
      <c r="D159" s="417"/>
      <c r="E159" s="417"/>
      <c r="F159" s="417"/>
      <c r="G159" s="417"/>
      <c r="H159" s="417"/>
      <c r="I159" s="417"/>
      <c r="J159" s="417"/>
      <c r="K159" s="417"/>
      <c r="L159" s="417"/>
      <c r="M159" s="417"/>
      <c r="N159" s="414"/>
      <c r="O159" s="417"/>
      <c r="P159" s="417"/>
      <c r="Q159" s="415">
        <f t="shared" si="5"/>
        <v>0</v>
      </c>
    </row>
    <row r="160" spans="1:17" ht="21.75" x14ac:dyDescent="0.5">
      <c r="A160" s="413">
        <v>138</v>
      </c>
      <c r="B160" s="413"/>
      <c r="C160" s="416" t="s">
        <v>2620</v>
      </c>
      <c r="D160" s="417"/>
      <c r="E160" s="417"/>
      <c r="F160" s="417"/>
      <c r="G160" s="417"/>
      <c r="H160" s="417"/>
      <c r="I160" s="417"/>
      <c r="J160" s="417"/>
      <c r="K160" s="417"/>
      <c r="L160" s="417"/>
      <c r="M160" s="417"/>
      <c r="N160" s="414"/>
      <c r="O160" s="417"/>
      <c r="P160" s="417"/>
      <c r="Q160" s="415">
        <f t="shared" si="5"/>
        <v>0</v>
      </c>
    </row>
    <row r="161" spans="1:17" ht="21.75" x14ac:dyDescent="0.5">
      <c r="A161" s="413"/>
      <c r="B161" s="413"/>
      <c r="C161" s="416" t="s">
        <v>2621</v>
      </c>
      <c r="D161" s="417"/>
      <c r="E161" s="417"/>
      <c r="F161" s="417"/>
      <c r="G161" s="417"/>
      <c r="H161" s="417"/>
      <c r="I161" s="417"/>
      <c r="J161" s="417"/>
      <c r="K161" s="417"/>
      <c r="L161" s="417"/>
      <c r="M161" s="417"/>
      <c r="N161" s="414"/>
      <c r="O161" s="417"/>
      <c r="P161" s="417"/>
      <c r="Q161" s="415"/>
    </row>
    <row r="162" spans="1:17" ht="21.75" x14ac:dyDescent="0.5">
      <c r="A162" s="413">
        <v>139</v>
      </c>
      <c r="B162" s="413"/>
      <c r="C162" s="416" t="s">
        <v>2622</v>
      </c>
      <c r="D162" s="417"/>
      <c r="E162" s="417"/>
      <c r="F162" s="417"/>
      <c r="G162" s="417"/>
      <c r="H162" s="417"/>
      <c r="I162" s="417"/>
      <c r="J162" s="417"/>
      <c r="K162" s="417"/>
      <c r="L162" s="417"/>
      <c r="M162" s="417"/>
      <c r="N162" s="414"/>
      <c r="O162" s="417"/>
      <c r="P162" s="417"/>
      <c r="Q162" s="415">
        <f>SUM(D162:P162)</f>
        <v>0</v>
      </c>
    </row>
    <row r="163" spans="1:17" ht="21.75" x14ac:dyDescent="0.5">
      <c r="A163" s="413">
        <v>140</v>
      </c>
      <c r="B163" s="413"/>
      <c r="C163" s="416" t="s">
        <v>2623</v>
      </c>
      <c r="D163" s="417"/>
      <c r="E163" s="417"/>
      <c r="F163" s="417"/>
      <c r="G163" s="417"/>
      <c r="H163" s="417"/>
      <c r="I163" s="417"/>
      <c r="J163" s="417"/>
      <c r="K163" s="417"/>
      <c r="L163" s="417"/>
      <c r="M163" s="417"/>
      <c r="N163" s="414"/>
      <c r="O163" s="417"/>
      <c r="P163" s="417"/>
      <c r="Q163" s="415">
        <f>SUM(D163:P163)</f>
        <v>0</v>
      </c>
    </row>
    <row r="164" spans="1:17" ht="21.75" x14ac:dyDescent="0.5">
      <c r="A164" s="413"/>
      <c r="B164" s="413"/>
      <c r="C164" s="416" t="s">
        <v>2624</v>
      </c>
      <c r="D164" s="417"/>
      <c r="E164" s="417"/>
      <c r="F164" s="417"/>
      <c r="G164" s="417"/>
      <c r="H164" s="417"/>
      <c r="I164" s="417"/>
      <c r="J164" s="417"/>
      <c r="K164" s="417"/>
      <c r="L164" s="417"/>
      <c r="M164" s="417"/>
      <c r="N164" s="414"/>
      <c r="O164" s="417"/>
      <c r="P164" s="417"/>
      <c r="Q164" s="415"/>
    </row>
    <row r="165" spans="1:17" ht="21.75" x14ac:dyDescent="0.5">
      <c r="A165" s="413">
        <v>141</v>
      </c>
      <c r="B165" s="413"/>
      <c r="C165" s="416" t="s">
        <v>2625</v>
      </c>
      <c r="D165" s="417"/>
      <c r="E165" s="417"/>
      <c r="F165" s="417"/>
      <c r="G165" s="417"/>
      <c r="H165" s="417"/>
      <c r="I165" s="417"/>
      <c r="J165" s="417"/>
      <c r="K165" s="417"/>
      <c r="L165" s="417"/>
      <c r="M165" s="417"/>
      <c r="N165" s="414"/>
      <c r="O165" s="417"/>
      <c r="P165" s="417"/>
      <c r="Q165" s="415">
        <f t="shared" ref="Q165:Q228" si="6">SUM(D165:P165)</f>
        <v>0</v>
      </c>
    </row>
    <row r="166" spans="1:17" ht="21.75" x14ac:dyDescent="0.5">
      <c r="A166" s="413">
        <v>142</v>
      </c>
      <c r="B166" s="413"/>
      <c r="C166" s="416" t="s">
        <v>2626</v>
      </c>
      <c r="D166" s="417"/>
      <c r="E166" s="417"/>
      <c r="F166" s="417"/>
      <c r="G166" s="417"/>
      <c r="H166" s="417"/>
      <c r="I166" s="417"/>
      <c r="J166" s="417"/>
      <c r="K166" s="417"/>
      <c r="L166" s="417"/>
      <c r="M166" s="417"/>
      <c r="N166" s="414"/>
      <c r="O166" s="417"/>
      <c r="P166" s="417"/>
      <c r="Q166" s="415">
        <f t="shared" si="6"/>
        <v>0</v>
      </c>
    </row>
    <row r="167" spans="1:17" ht="21.75" x14ac:dyDescent="0.5">
      <c r="A167" s="413">
        <v>143</v>
      </c>
      <c r="B167" s="413"/>
      <c r="C167" s="416" t="s">
        <v>2627</v>
      </c>
      <c r="D167" s="417"/>
      <c r="E167" s="417"/>
      <c r="F167" s="417"/>
      <c r="G167" s="417"/>
      <c r="H167" s="417"/>
      <c r="I167" s="417"/>
      <c r="J167" s="417"/>
      <c r="K167" s="417"/>
      <c r="L167" s="417"/>
      <c r="M167" s="417"/>
      <c r="N167" s="414"/>
      <c r="O167" s="417"/>
      <c r="P167" s="417"/>
      <c r="Q167" s="415">
        <f t="shared" si="6"/>
        <v>0</v>
      </c>
    </row>
    <row r="168" spans="1:17" ht="21.75" x14ac:dyDescent="0.5">
      <c r="A168" s="413">
        <v>144</v>
      </c>
      <c r="B168" s="413" t="s">
        <v>251</v>
      </c>
      <c r="C168" s="416" t="s">
        <v>68</v>
      </c>
      <c r="D168" s="417"/>
      <c r="E168" s="417"/>
      <c r="F168" s="417"/>
      <c r="G168" s="417"/>
      <c r="H168" s="417"/>
      <c r="I168" s="417"/>
      <c r="J168" s="417"/>
      <c r="K168" s="417"/>
      <c r="L168" s="417"/>
      <c r="M168" s="417"/>
      <c r="N168" s="414"/>
      <c r="O168" s="417"/>
      <c r="P168" s="417"/>
      <c r="Q168" s="415">
        <f t="shared" si="6"/>
        <v>0</v>
      </c>
    </row>
    <row r="169" spans="1:17" ht="21.75" x14ac:dyDescent="0.5">
      <c r="A169" s="413">
        <v>145</v>
      </c>
      <c r="B169" s="413" t="s">
        <v>28</v>
      </c>
      <c r="C169" s="416" t="s">
        <v>188</v>
      </c>
      <c r="D169" s="417"/>
      <c r="E169" s="417"/>
      <c r="F169" s="417"/>
      <c r="G169" s="417"/>
      <c r="H169" s="417"/>
      <c r="I169" s="417"/>
      <c r="J169" s="417"/>
      <c r="K169" s="417"/>
      <c r="L169" s="417"/>
      <c r="M169" s="417"/>
      <c r="N169" s="414"/>
      <c r="O169" s="417"/>
      <c r="P169" s="417"/>
      <c r="Q169" s="415">
        <f t="shared" si="6"/>
        <v>0</v>
      </c>
    </row>
    <row r="170" spans="1:17" ht="21.75" x14ac:dyDescent="0.5">
      <c r="A170" s="413">
        <v>146</v>
      </c>
      <c r="B170" s="413"/>
      <c r="C170" s="416" t="s">
        <v>2628</v>
      </c>
      <c r="D170" s="417"/>
      <c r="E170" s="417"/>
      <c r="F170" s="417"/>
      <c r="G170" s="417"/>
      <c r="H170" s="417"/>
      <c r="I170" s="417"/>
      <c r="J170" s="417"/>
      <c r="K170" s="417"/>
      <c r="L170" s="417"/>
      <c r="M170" s="417"/>
      <c r="N170" s="414"/>
      <c r="O170" s="417"/>
      <c r="P170" s="417"/>
      <c r="Q170" s="415">
        <f t="shared" si="6"/>
        <v>0</v>
      </c>
    </row>
    <row r="171" spans="1:17" ht="21.75" x14ac:dyDescent="0.5">
      <c r="A171" s="413">
        <v>147</v>
      </c>
      <c r="B171" s="413"/>
      <c r="C171" s="416" t="s">
        <v>72</v>
      </c>
      <c r="D171" s="417"/>
      <c r="E171" s="417"/>
      <c r="F171" s="417"/>
      <c r="G171" s="417"/>
      <c r="H171" s="417"/>
      <c r="I171" s="417"/>
      <c r="J171" s="417"/>
      <c r="K171" s="417"/>
      <c r="L171" s="417"/>
      <c r="M171" s="417"/>
      <c r="N171" s="416"/>
      <c r="O171" s="417"/>
      <c r="P171" s="417"/>
      <c r="Q171" s="415">
        <f t="shared" si="6"/>
        <v>0</v>
      </c>
    </row>
    <row r="172" spans="1:17" ht="21.75" x14ac:dyDescent="0.5">
      <c r="A172" s="413">
        <v>148</v>
      </c>
      <c r="B172" s="413"/>
      <c r="C172" s="416" t="s">
        <v>2629</v>
      </c>
      <c r="D172" s="417"/>
      <c r="E172" s="417"/>
      <c r="F172" s="417"/>
      <c r="G172" s="417"/>
      <c r="H172" s="417"/>
      <c r="I172" s="417"/>
      <c r="J172" s="417"/>
      <c r="K172" s="417"/>
      <c r="L172" s="417"/>
      <c r="M172" s="417"/>
      <c r="N172" s="414"/>
      <c r="O172" s="417"/>
      <c r="P172" s="417"/>
      <c r="Q172" s="415">
        <f t="shared" si="6"/>
        <v>0</v>
      </c>
    </row>
    <row r="173" spans="1:17" ht="21.75" x14ac:dyDescent="0.5">
      <c r="A173" s="413">
        <v>149</v>
      </c>
      <c r="B173" s="413"/>
      <c r="C173" s="416" t="s">
        <v>2395</v>
      </c>
      <c r="D173" s="417"/>
      <c r="E173" s="417"/>
      <c r="F173" s="417"/>
      <c r="G173" s="417"/>
      <c r="H173" s="417"/>
      <c r="I173" s="417"/>
      <c r="J173" s="417"/>
      <c r="K173" s="417"/>
      <c r="L173" s="417"/>
      <c r="M173" s="417"/>
      <c r="N173" s="416"/>
      <c r="O173" s="417"/>
      <c r="P173" s="417"/>
      <c r="Q173" s="415">
        <f t="shared" si="6"/>
        <v>0</v>
      </c>
    </row>
    <row r="174" spans="1:17" ht="21.75" x14ac:dyDescent="0.5">
      <c r="A174" s="413">
        <v>150</v>
      </c>
      <c r="B174" s="413"/>
      <c r="C174" s="416" t="s">
        <v>2630</v>
      </c>
      <c r="D174" s="417"/>
      <c r="E174" s="417"/>
      <c r="F174" s="417"/>
      <c r="G174" s="417"/>
      <c r="H174" s="417"/>
      <c r="I174" s="417"/>
      <c r="J174" s="417"/>
      <c r="K174" s="417"/>
      <c r="L174" s="417"/>
      <c r="M174" s="417"/>
      <c r="N174" s="416"/>
      <c r="O174" s="417"/>
      <c r="P174" s="417"/>
      <c r="Q174" s="415">
        <f t="shared" si="6"/>
        <v>0</v>
      </c>
    </row>
    <row r="175" spans="1:17" ht="21.75" x14ac:dyDescent="0.5">
      <c r="A175" s="413">
        <v>151</v>
      </c>
      <c r="B175" s="413"/>
      <c r="C175" s="416" t="s">
        <v>2631</v>
      </c>
      <c r="D175" s="417"/>
      <c r="E175" s="417"/>
      <c r="F175" s="417"/>
      <c r="G175" s="417"/>
      <c r="H175" s="417"/>
      <c r="I175" s="417"/>
      <c r="J175" s="417"/>
      <c r="K175" s="417"/>
      <c r="L175" s="417"/>
      <c r="M175" s="417"/>
      <c r="N175" s="416"/>
      <c r="O175" s="417"/>
      <c r="P175" s="417"/>
      <c r="Q175" s="415">
        <f t="shared" si="6"/>
        <v>0</v>
      </c>
    </row>
    <row r="176" spans="1:17" ht="21.75" x14ac:dyDescent="0.5">
      <c r="A176" s="413">
        <v>152</v>
      </c>
      <c r="B176" s="413"/>
      <c r="C176" s="416" t="s">
        <v>2632</v>
      </c>
      <c r="D176" s="417"/>
      <c r="E176" s="417"/>
      <c r="F176" s="417"/>
      <c r="G176" s="417"/>
      <c r="H176" s="417"/>
      <c r="I176" s="417"/>
      <c r="J176" s="417"/>
      <c r="K176" s="417"/>
      <c r="L176" s="417"/>
      <c r="M176" s="417"/>
      <c r="N176" s="414"/>
      <c r="O176" s="417"/>
      <c r="P176" s="417"/>
      <c r="Q176" s="415">
        <f t="shared" si="6"/>
        <v>0</v>
      </c>
    </row>
    <row r="177" spans="1:17" ht="21.75" x14ac:dyDescent="0.5">
      <c r="A177" s="413">
        <v>153</v>
      </c>
      <c r="B177" s="413"/>
      <c r="C177" s="416" t="s">
        <v>277</v>
      </c>
      <c r="D177" s="417"/>
      <c r="E177" s="417"/>
      <c r="F177" s="417"/>
      <c r="G177" s="417"/>
      <c r="H177" s="417"/>
      <c r="I177" s="417"/>
      <c r="J177" s="417"/>
      <c r="K177" s="417"/>
      <c r="L177" s="417"/>
      <c r="M177" s="417"/>
      <c r="N177" s="416"/>
      <c r="O177" s="417"/>
      <c r="P177" s="417"/>
      <c r="Q177" s="415">
        <f t="shared" si="6"/>
        <v>0</v>
      </c>
    </row>
    <row r="178" spans="1:17" ht="21.75" x14ac:dyDescent="0.5">
      <c r="A178" s="413">
        <v>154</v>
      </c>
      <c r="B178" s="413"/>
      <c r="C178" s="416" t="s">
        <v>2633</v>
      </c>
      <c r="D178" s="417"/>
      <c r="E178" s="417"/>
      <c r="F178" s="417"/>
      <c r="G178" s="417"/>
      <c r="H178" s="417"/>
      <c r="I178" s="417"/>
      <c r="J178" s="417"/>
      <c r="K178" s="417"/>
      <c r="L178" s="417"/>
      <c r="M178" s="417"/>
      <c r="N178" s="416"/>
      <c r="O178" s="417"/>
      <c r="P178" s="417"/>
      <c r="Q178" s="415">
        <f t="shared" si="6"/>
        <v>0</v>
      </c>
    </row>
    <row r="179" spans="1:17" ht="21.75" x14ac:dyDescent="0.5">
      <c r="A179" s="413">
        <v>155</v>
      </c>
      <c r="B179" s="413" t="s">
        <v>28</v>
      </c>
      <c r="C179" s="416" t="s">
        <v>202</v>
      </c>
      <c r="D179" s="417"/>
      <c r="E179" s="417"/>
      <c r="F179" s="417"/>
      <c r="G179" s="417"/>
      <c r="H179" s="417"/>
      <c r="I179" s="417"/>
      <c r="J179" s="417"/>
      <c r="K179" s="417"/>
      <c r="L179" s="417"/>
      <c r="M179" s="417"/>
      <c r="N179" s="414"/>
      <c r="O179" s="417"/>
      <c r="P179" s="417"/>
      <c r="Q179" s="415">
        <f t="shared" si="6"/>
        <v>0</v>
      </c>
    </row>
    <row r="180" spans="1:17" ht="21.75" x14ac:dyDescent="0.5">
      <c r="A180" s="413">
        <v>156</v>
      </c>
      <c r="B180" s="413" t="s">
        <v>28</v>
      </c>
      <c r="C180" s="416" t="s">
        <v>210</v>
      </c>
      <c r="D180" s="417"/>
      <c r="E180" s="417"/>
      <c r="F180" s="417"/>
      <c r="G180" s="417"/>
      <c r="H180" s="417"/>
      <c r="I180" s="417"/>
      <c r="J180" s="417"/>
      <c r="K180" s="417"/>
      <c r="L180" s="417"/>
      <c r="M180" s="417"/>
      <c r="N180" s="414"/>
      <c r="O180" s="417"/>
      <c r="P180" s="417"/>
      <c r="Q180" s="415">
        <f t="shared" si="6"/>
        <v>0</v>
      </c>
    </row>
    <row r="181" spans="1:17" ht="21.75" x14ac:dyDescent="0.5">
      <c r="A181" s="413">
        <v>157</v>
      </c>
      <c r="B181" s="413"/>
      <c r="C181" s="416" t="s">
        <v>2634</v>
      </c>
      <c r="D181" s="417"/>
      <c r="E181" s="417"/>
      <c r="F181" s="417"/>
      <c r="G181" s="417"/>
      <c r="H181" s="417"/>
      <c r="I181" s="417"/>
      <c r="J181" s="417"/>
      <c r="K181" s="417"/>
      <c r="L181" s="417"/>
      <c r="M181" s="417"/>
      <c r="N181" s="416"/>
      <c r="O181" s="417"/>
      <c r="P181" s="417"/>
      <c r="Q181" s="415">
        <f t="shared" si="6"/>
        <v>0</v>
      </c>
    </row>
    <row r="182" spans="1:17" ht="21.75" x14ac:dyDescent="0.5">
      <c r="A182" s="413">
        <v>158</v>
      </c>
      <c r="B182" s="419"/>
      <c r="C182" s="416" t="s">
        <v>2635</v>
      </c>
      <c r="D182" s="417"/>
      <c r="E182" s="417"/>
      <c r="F182" s="417"/>
      <c r="G182" s="417"/>
      <c r="H182" s="417"/>
      <c r="I182" s="417"/>
      <c r="J182" s="417"/>
      <c r="K182" s="417"/>
      <c r="L182" s="417"/>
      <c r="M182" s="417"/>
      <c r="N182" s="414"/>
      <c r="O182" s="417"/>
      <c r="P182" s="417"/>
      <c r="Q182" s="415">
        <f t="shared" si="6"/>
        <v>0</v>
      </c>
    </row>
    <row r="183" spans="1:17" ht="21.75" x14ac:dyDescent="0.5">
      <c r="A183" s="413">
        <v>159</v>
      </c>
      <c r="B183" s="413" t="s">
        <v>251</v>
      </c>
      <c r="C183" s="416" t="s">
        <v>908</v>
      </c>
      <c r="D183" s="417"/>
      <c r="E183" s="417"/>
      <c r="F183" s="417"/>
      <c r="G183" s="417"/>
      <c r="H183" s="417"/>
      <c r="I183" s="417"/>
      <c r="J183" s="417"/>
      <c r="K183" s="417"/>
      <c r="L183" s="417"/>
      <c r="M183" s="417"/>
      <c r="N183" s="416"/>
      <c r="O183" s="417"/>
      <c r="P183" s="417"/>
      <c r="Q183" s="415">
        <f t="shared" si="6"/>
        <v>0</v>
      </c>
    </row>
    <row r="184" spans="1:17" ht="21.75" x14ac:dyDescent="0.5">
      <c r="A184" s="413"/>
      <c r="B184" s="413"/>
      <c r="C184" s="414" t="s">
        <v>2636</v>
      </c>
      <c r="D184" s="417"/>
      <c r="E184" s="417"/>
      <c r="F184" s="417"/>
      <c r="G184" s="417"/>
      <c r="H184" s="417"/>
      <c r="I184" s="417"/>
      <c r="J184" s="417"/>
      <c r="K184" s="417"/>
      <c r="L184" s="417"/>
      <c r="M184" s="417"/>
      <c r="N184" s="416"/>
      <c r="O184" s="417"/>
      <c r="P184" s="417"/>
      <c r="Q184" s="415">
        <f t="shared" si="6"/>
        <v>0</v>
      </c>
    </row>
    <row r="185" spans="1:17" ht="21.75" x14ac:dyDescent="0.5">
      <c r="A185" s="413">
        <v>160</v>
      </c>
      <c r="B185" s="413"/>
      <c r="C185" s="416" t="s">
        <v>2637</v>
      </c>
      <c r="D185" s="417"/>
      <c r="E185" s="417"/>
      <c r="F185" s="417"/>
      <c r="G185" s="417"/>
      <c r="H185" s="417"/>
      <c r="I185" s="417"/>
      <c r="J185" s="417"/>
      <c r="K185" s="417"/>
      <c r="L185" s="417"/>
      <c r="M185" s="417"/>
      <c r="N185" s="416"/>
      <c r="O185" s="417"/>
      <c r="P185" s="417"/>
      <c r="Q185" s="415">
        <f t="shared" si="6"/>
        <v>0</v>
      </c>
    </row>
    <row r="186" spans="1:17" ht="21.75" x14ac:dyDescent="0.5">
      <c r="A186" s="413">
        <v>161</v>
      </c>
      <c r="B186" s="413"/>
      <c r="C186" s="414" t="s">
        <v>270</v>
      </c>
      <c r="D186" s="417"/>
      <c r="E186" s="417"/>
      <c r="F186" s="417"/>
      <c r="G186" s="417"/>
      <c r="H186" s="417"/>
      <c r="I186" s="417"/>
      <c r="J186" s="417"/>
      <c r="K186" s="417"/>
      <c r="L186" s="417"/>
      <c r="M186" s="417"/>
      <c r="N186" s="414"/>
      <c r="O186" s="417"/>
      <c r="P186" s="417"/>
      <c r="Q186" s="415">
        <f t="shared" si="6"/>
        <v>0</v>
      </c>
    </row>
    <row r="187" spans="1:17" ht="21.75" x14ac:dyDescent="0.5">
      <c r="A187" s="413">
        <v>162</v>
      </c>
      <c r="B187" s="413"/>
      <c r="C187" s="416" t="s">
        <v>2638</v>
      </c>
      <c r="D187" s="417"/>
      <c r="E187" s="417"/>
      <c r="F187" s="417"/>
      <c r="G187" s="417"/>
      <c r="H187" s="417"/>
      <c r="I187" s="417"/>
      <c r="J187" s="417"/>
      <c r="K187" s="417"/>
      <c r="L187" s="417"/>
      <c r="M187" s="417"/>
      <c r="N187" s="416"/>
      <c r="O187" s="417"/>
      <c r="P187" s="417"/>
      <c r="Q187" s="415">
        <f t="shared" si="6"/>
        <v>0</v>
      </c>
    </row>
    <row r="188" spans="1:17" ht="21.75" x14ac:dyDescent="0.5">
      <c r="A188" s="413">
        <v>163</v>
      </c>
      <c r="B188" s="413"/>
      <c r="C188" s="416" t="s">
        <v>280</v>
      </c>
      <c r="D188" s="417"/>
      <c r="E188" s="417"/>
      <c r="F188" s="417"/>
      <c r="G188" s="417"/>
      <c r="H188" s="417"/>
      <c r="I188" s="417"/>
      <c r="J188" s="417"/>
      <c r="K188" s="417"/>
      <c r="L188" s="417"/>
      <c r="M188" s="417"/>
      <c r="N188" s="416"/>
      <c r="O188" s="417"/>
      <c r="P188" s="417"/>
      <c r="Q188" s="415">
        <f t="shared" si="6"/>
        <v>0</v>
      </c>
    </row>
    <row r="189" spans="1:17" ht="21.75" x14ac:dyDescent="0.5">
      <c r="A189" s="413">
        <v>164</v>
      </c>
      <c r="B189" s="413"/>
      <c r="C189" s="414" t="s">
        <v>2639</v>
      </c>
      <c r="D189" s="417"/>
      <c r="E189" s="417"/>
      <c r="F189" s="417"/>
      <c r="G189" s="417"/>
      <c r="H189" s="417"/>
      <c r="I189" s="417"/>
      <c r="J189" s="417"/>
      <c r="K189" s="417"/>
      <c r="L189" s="417"/>
      <c r="M189" s="417"/>
      <c r="N189" s="414"/>
      <c r="O189" s="417"/>
      <c r="P189" s="417"/>
      <c r="Q189" s="415">
        <f t="shared" si="6"/>
        <v>0</v>
      </c>
    </row>
    <row r="190" spans="1:17" ht="21.75" x14ac:dyDescent="0.5">
      <c r="A190" s="413">
        <v>165</v>
      </c>
      <c r="B190" s="413" t="s">
        <v>251</v>
      </c>
      <c r="C190" s="416" t="s">
        <v>134</v>
      </c>
      <c r="D190" s="417"/>
      <c r="E190" s="417"/>
      <c r="F190" s="417"/>
      <c r="G190" s="417"/>
      <c r="H190" s="417"/>
      <c r="I190" s="417"/>
      <c r="J190" s="417"/>
      <c r="K190" s="417"/>
      <c r="L190" s="417"/>
      <c r="M190" s="417"/>
      <c r="N190" s="416"/>
      <c r="O190" s="417"/>
      <c r="P190" s="417"/>
      <c r="Q190" s="415">
        <f t="shared" si="6"/>
        <v>0</v>
      </c>
    </row>
    <row r="191" spans="1:17" ht="21.75" x14ac:dyDescent="0.5">
      <c r="A191" s="413">
        <v>166</v>
      </c>
      <c r="B191" s="419"/>
      <c r="C191" s="414" t="s">
        <v>2640</v>
      </c>
      <c r="D191" s="417"/>
      <c r="E191" s="417"/>
      <c r="F191" s="417"/>
      <c r="G191" s="417"/>
      <c r="H191" s="417"/>
      <c r="I191" s="417"/>
      <c r="J191" s="417"/>
      <c r="K191" s="417"/>
      <c r="L191" s="417"/>
      <c r="M191" s="417"/>
      <c r="N191" s="416"/>
      <c r="O191" s="417"/>
      <c r="P191" s="417"/>
      <c r="Q191" s="415">
        <f t="shared" si="6"/>
        <v>0</v>
      </c>
    </row>
    <row r="192" spans="1:17" ht="21.75" x14ac:dyDescent="0.5">
      <c r="A192" s="413">
        <v>167</v>
      </c>
      <c r="B192" s="413" t="s">
        <v>28</v>
      </c>
      <c r="C192" s="416" t="s">
        <v>298</v>
      </c>
      <c r="D192" s="417"/>
      <c r="E192" s="417"/>
      <c r="F192" s="417"/>
      <c r="G192" s="417"/>
      <c r="H192" s="417"/>
      <c r="I192" s="417"/>
      <c r="J192" s="417"/>
      <c r="K192" s="417"/>
      <c r="L192" s="417"/>
      <c r="M192" s="417"/>
      <c r="N192" s="414"/>
      <c r="O192" s="417"/>
      <c r="P192" s="417"/>
      <c r="Q192" s="415">
        <f t="shared" si="6"/>
        <v>0</v>
      </c>
    </row>
    <row r="193" spans="1:17" ht="21.75" x14ac:dyDescent="0.5">
      <c r="A193" s="413">
        <v>168</v>
      </c>
      <c r="B193" s="419"/>
      <c r="C193" s="416" t="s">
        <v>2641</v>
      </c>
      <c r="D193" s="417"/>
      <c r="E193" s="417"/>
      <c r="F193" s="417"/>
      <c r="G193" s="417"/>
      <c r="H193" s="417"/>
      <c r="I193" s="417"/>
      <c r="J193" s="417"/>
      <c r="K193" s="417"/>
      <c r="L193" s="417"/>
      <c r="M193" s="417"/>
      <c r="N193" s="416"/>
      <c r="O193" s="417"/>
      <c r="P193" s="417"/>
      <c r="Q193" s="415">
        <f t="shared" si="6"/>
        <v>0</v>
      </c>
    </row>
    <row r="194" spans="1:17" ht="21.75" x14ac:dyDescent="0.5">
      <c r="A194" s="413">
        <v>169</v>
      </c>
      <c r="B194" s="413" t="s">
        <v>251</v>
      </c>
      <c r="C194" s="416" t="s">
        <v>83</v>
      </c>
      <c r="D194" s="417"/>
      <c r="E194" s="417"/>
      <c r="F194" s="417"/>
      <c r="G194" s="417"/>
      <c r="H194" s="417"/>
      <c r="I194" s="417"/>
      <c r="J194" s="417"/>
      <c r="K194" s="417"/>
      <c r="L194" s="417"/>
      <c r="M194" s="417"/>
      <c r="N194" s="416"/>
      <c r="O194" s="417"/>
      <c r="P194" s="417"/>
      <c r="Q194" s="415">
        <f t="shared" si="6"/>
        <v>0</v>
      </c>
    </row>
    <row r="195" spans="1:17" ht="21.75" x14ac:dyDescent="0.5">
      <c r="A195" s="413">
        <v>170</v>
      </c>
      <c r="B195" s="413" t="s">
        <v>28</v>
      </c>
      <c r="C195" s="416" t="s">
        <v>307</v>
      </c>
      <c r="D195" s="417"/>
      <c r="E195" s="417"/>
      <c r="F195" s="417"/>
      <c r="G195" s="417"/>
      <c r="H195" s="417"/>
      <c r="I195" s="417"/>
      <c r="J195" s="417"/>
      <c r="K195" s="417"/>
      <c r="L195" s="417"/>
      <c r="M195" s="417"/>
      <c r="N195" s="414"/>
      <c r="O195" s="417"/>
      <c r="P195" s="417"/>
      <c r="Q195" s="415">
        <f t="shared" si="6"/>
        <v>0</v>
      </c>
    </row>
    <row r="196" spans="1:17" ht="21.75" x14ac:dyDescent="0.5">
      <c r="A196" s="413">
        <v>171</v>
      </c>
      <c r="B196" s="413"/>
      <c r="C196" s="416" t="s">
        <v>2642</v>
      </c>
      <c r="D196" s="417"/>
      <c r="E196" s="417"/>
      <c r="F196" s="417"/>
      <c r="G196" s="417"/>
      <c r="H196" s="417"/>
      <c r="I196" s="417"/>
      <c r="J196" s="417"/>
      <c r="K196" s="417"/>
      <c r="L196" s="417"/>
      <c r="M196" s="417"/>
      <c r="N196" s="414"/>
      <c r="O196" s="417"/>
      <c r="P196" s="417"/>
      <c r="Q196" s="415">
        <f t="shared" si="6"/>
        <v>0</v>
      </c>
    </row>
    <row r="197" spans="1:17" ht="21.75" x14ac:dyDescent="0.5">
      <c r="A197" s="413">
        <v>172</v>
      </c>
      <c r="B197" s="413"/>
      <c r="C197" s="416" t="s">
        <v>2643</v>
      </c>
      <c r="D197" s="417"/>
      <c r="E197" s="417"/>
      <c r="F197" s="417"/>
      <c r="G197" s="417"/>
      <c r="H197" s="417"/>
      <c r="I197" s="417"/>
      <c r="J197" s="417"/>
      <c r="K197" s="417"/>
      <c r="L197" s="417"/>
      <c r="M197" s="417"/>
      <c r="N197" s="416"/>
      <c r="O197" s="417"/>
      <c r="P197" s="417"/>
      <c r="Q197" s="415">
        <f t="shared" si="6"/>
        <v>0</v>
      </c>
    </row>
    <row r="198" spans="1:17" ht="21.75" x14ac:dyDescent="0.5">
      <c r="A198" s="413">
        <v>173</v>
      </c>
      <c r="B198" s="413"/>
      <c r="C198" s="416" t="s">
        <v>2644</v>
      </c>
      <c r="D198" s="417"/>
      <c r="E198" s="417"/>
      <c r="F198" s="417"/>
      <c r="G198" s="417"/>
      <c r="H198" s="417"/>
      <c r="I198" s="417"/>
      <c r="J198" s="417"/>
      <c r="K198" s="417"/>
      <c r="L198" s="417"/>
      <c r="M198" s="417"/>
      <c r="N198" s="414"/>
      <c r="O198" s="417"/>
      <c r="P198" s="417"/>
      <c r="Q198" s="415">
        <f t="shared" si="6"/>
        <v>0</v>
      </c>
    </row>
    <row r="199" spans="1:17" ht="21.75" x14ac:dyDescent="0.5">
      <c r="A199" s="413">
        <v>174</v>
      </c>
      <c r="B199" s="413"/>
      <c r="C199" s="416" t="s">
        <v>2207</v>
      </c>
      <c r="D199" s="417"/>
      <c r="E199" s="417"/>
      <c r="F199" s="417"/>
      <c r="G199" s="417"/>
      <c r="H199" s="417"/>
      <c r="I199" s="417"/>
      <c r="J199" s="417"/>
      <c r="K199" s="417"/>
      <c r="L199" s="417"/>
      <c r="M199" s="417"/>
      <c r="N199" s="416"/>
      <c r="O199" s="417"/>
      <c r="P199" s="417"/>
      <c r="Q199" s="415">
        <f t="shared" si="6"/>
        <v>0</v>
      </c>
    </row>
    <row r="200" spans="1:17" ht="21.75" x14ac:dyDescent="0.5">
      <c r="A200" s="413">
        <v>175</v>
      </c>
      <c r="B200" s="413" t="s">
        <v>28</v>
      </c>
      <c r="C200" s="416" t="s">
        <v>2109</v>
      </c>
      <c r="D200" s="417"/>
      <c r="E200" s="417"/>
      <c r="F200" s="417"/>
      <c r="G200" s="417"/>
      <c r="H200" s="417"/>
      <c r="I200" s="417"/>
      <c r="J200" s="417"/>
      <c r="K200" s="417"/>
      <c r="L200" s="417"/>
      <c r="M200" s="417"/>
      <c r="N200" s="416"/>
      <c r="O200" s="417"/>
      <c r="P200" s="417"/>
      <c r="Q200" s="415">
        <f t="shared" si="6"/>
        <v>0</v>
      </c>
    </row>
    <row r="201" spans="1:17" ht="21.75" x14ac:dyDescent="0.5">
      <c r="A201" s="413">
        <v>176</v>
      </c>
      <c r="B201" s="413"/>
      <c r="C201" s="414" t="s">
        <v>2645</v>
      </c>
      <c r="D201" s="417"/>
      <c r="E201" s="417"/>
      <c r="F201" s="417"/>
      <c r="G201" s="417"/>
      <c r="H201" s="417"/>
      <c r="I201" s="417"/>
      <c r="J201" s="417"/>
      <c r="K201" s="417"/>
      <c r="L201" s="417"/>
      <c r="M201" s="417"/>
      <c r="N201" s="416"/>
      <c r="O201" s="417"/>
      <c r="P201" s="417"/>
      <c r="Q201" s="415">
        <f t="shared" si="6"/>
        <v>0</v>
      </c>
    </row>
    <row r="202" spans="1:17" ht="21.75" x14ac:dyDescent="0.5">
      <c r="A202" s="413">
        <v>177</v>
      </c>
      <c r="B202" s="413"/>
      <c r="C202" s="414" t="s">
        <v>2109</v>
      </c>
      <c r="D202" s="417"/>
      <c r="E202" s="417"/>
      <c r="F202" s="417"/>
      <c r="G202" s="417"/>
      <c r="H202" s="417"/>
      <c r="I202" s="417"/>
      <c r="J202" s="417"/>
      <c r="K202" s="417"/>
      <c r="L202" s="417"/>
      <c r="M202" s="417"/>
      <c r="N202" s="414"/>
      <c r="O202" s="417"/>
      <c r="P202" s="417"/>
      <c r="Q202" s="415">
        <f t="shared" si="6"/>
        <v>0</v>
      </c>
    </row>
    <row r="203" spans="1:17" ht="21.75" x14ac:dyDescent="0.5">
      <c r="A203" s="413">
        <v>178</v>
      </c>
      <c r="B203" s="419"/>
      <c r="C203" s="416" t="s">
        <v>98</v>
      </c>
      <c r="D203" s="417"/>
      <c r="E203" s="417"/>
      <c r="F203" s="417"/>
      <c r="G203" s="417"/>
      <c r="H203" s="417"/>
      <c r="I203" s="417"/>
      <c r="J203" s="417"/>
      <c r="K203" s="417"/>
      <c r="L203" s="417"/>
      <c r="M203" s="417"/>
      <c r="N203" s="416"/>
      <c r="O203" s="417"/>
      <c r="P203" s="417"/>
      <c r="Q203" s="415">
        <f t="shared" si="6"/>
        <v>0</v>
      </c>
    </row>
    <row r="204" spans="1:17" ht="21.75" x14ac:dyDescent="0.5">
      <c r="A204" s="413">
        <v>179</v>
      </c>
      <c r="B204" s="413" t="s">
        <v>251</v>
      </c>
      <c r="C204" s="416" t="s">
        <v>102</v>
      </c>
      <c r="D204" s="417"/>
      <c r="E204" s="417"/>
      <c r="F204" s="417"/>
      <c r="G204" s="417"/>
      <c r="H204" s="417"/>
      <c r="I204" s="417"/>
      <c r="J204" s="417"/>
      <c r="K204" s="417"/>
      <c r="L204" s="417"/>
      <c r="M204" s="417"/>
      <c r="N204" s="416"/>
      <c r="O204" s="417"/>
      <c r="P204" s="417"/>
      <c r="Q204" s="415">
        <f t="shared" si="6"/>
        <v>0</v>
      </c>
    </row>
    <row r="205" spans="1:17" ht="21.75" x14ac:dyDescent="0.5">
      <c r="A205" s="413">
        <v>180</v>
      </c>
      <c r="B205" s="413" t="s">
        <v>28</v>
      </c>
      <c r="C205" s="416" t="s">
        <v>354</v>
      </c>
      <c r="D205" s="417"/>
      <c r="E205" s="417"/>
      <c r="F205" s="417"/>
      <c r="G205" s="417"/>
      <c r="H205" s="417"/>
      <c r="I205" s="417"/>
      <c r="J205" s="417"/>
      <c r="K205" s="417"/>
      <c r="L205" s="417"/>
      <c r="M205" s="417"/>
      <c r="N205" s="414"/>
      <c r="O205" s="417"/>
      <c r="P205" s="417"/>
      <c r="Q205" s="415">
        <f t="shared" si="6"/>
        <v>0</v>
      </c>
    </row>
    <row r="206" spans="1:17" ht="21.75" x14ac:dyDescent="0.5">
      <c r="A206" s="413">
        <v>181</v>
      </c>
      <c r="B206" s="413"/>
      <c r="C206" s="414" t="s">
        <v>2107</v>
      </c>
      <c r="D206" s="417"/>
      <c r="E206" s="417"/>
      <c r="F206" s="417"/>
      <c r="G206" s="417"/>
      <c r="H206" s="417"/>
      <c r="I206" s="417"/>
      <c r="J206" s="417"/>
      <c r="K206" s="417"/>
      <c r="L206" s="417"/>
      <c r="M206" s="417"/>
      <c r="N206" s="414"/>
      <c r="O206" s="417"/>
      <c r="P206" s="417"/>
      <c r="Q206" s="415">
        <f t="shared" si="6"/>
        <v>0</v>
      </c>
    </row>
    <row r="207" spans="1:17" ht="21.75" x14ac:dyDescent="0.5">
      <c r="A207" s="413">
        <v>182</v>
      </c>
      <c r="B207" s="413"/>
      <c r="C207" s="416" t="s">
        <v>2646</v>
      </c>
      <c r="D207" s="417"/>
      <c r="E207" s="417"/>
      <c r="F207" s="417"/>
      <c r="G207" s="417"/>
      <c r="H207" s="417"/>
      <c r="I207" s="417"/>
      <c r="J207" s="417"/>
      <c r="K207" s="417"/>
      <c r="L207" s="417"/>
      <c r="M207" s="417"/>
      <c r="N207" s="416"/>
      <c r="O207" s="417"/>
      <c r="P207" s="417"/>
      <c r="Q207" s="415">
        <f t="shared" si="6"/>
        <v>0</v>
      </c>
    </row>
    <row r="208" spans="1:17" ht="21.75" x14ac:dyDescent="0.5">
      <c r="A208" s="413">
        <v>183</v>
      </c>
      <c r="B208" s="413"/>
      <c r="C208" s="416" t="s">
        <v>2647</v>
      </c>
      <c r="D208" s="417"/>
      <c r="E208" s="417"/>
      <c r="F208" s="417"/>
      <c r="G208" s="417"/>
      <c r="H208" s="417"/>
      <c r="I208" s="417"/>
      <c r="J208" s="417"/>
      <c r="K208" s="417"/>
      <c r="L208" s="417"/>
      <c r="M208" s="417"/>
      <c r="N208" s="416"/>
      <c r="O208" s="417"/>
      <c r="P208" s="417"/>
      <c r="Q208" s="415">
        <f t="shared" si="6"/>
        <v>0</v>
      </c>
    </row>
    <row r="209" spans="1:17" ht="21.75" x14ac:dyDescent="0.5">
      <c r="A209" s="413">
        <v>184</v>
      </c>
      <c r="B209" s="413"/>
      <c r="C209" s="416" t="s">
        <v>2648</v>
      </c>
      <c r="D209" s="417"/>
      <c r="E209" s="417"/>
      <c r="F209" s="417"/>
      <c r="G209" s="417"/>
      <c r="H209" s="417"/>
      <c r="I209" s="417"/>
      <c r="J209" s="417"/>
      <c r="K209" s="417"/>
      <c r="L209" s="417"/>
      <c r="M209" s="417"/>
      <c r="N209" s="416"/>
      <c r="O209" s="417"/>
      <c r="P209" s="417"/>
      <c r="Q209" s="415">
        <f t="shared" si="6"/>
        <v>0</v>
      </c>
    </row>
    <row r="210" spans="1:17" ht="21.75" x14ac:dyDescent="0.5">
      <c r="A210" s="413">
        <v>185</v>
      </c>
      <c r="B210" s="413"/>
      <c r="C210" s="416" t="s">
        <v>2649</v>
      </c>
      <c r="D210" s="417"/>
      <c r="E210" s="417"/>
      <c r="F210" s="417"/>
      <c r="G210" s="417"/>
      <c r="H210" s="417"/>
      <c r="I210" s="417"/>
      <c r="J210" s="417"/>
      <c r="K210" s="417"/>
      <c r="L210" s="417"/>
      <c r="M210" s="417"/>
      <c r="N210" s="414"/>
      <c r="O210" s="417"/>
      <c r="P210" s="417"/>
      <c r="Q210" s="415">
        <f t="shared" si="6"/>
        <v>0</v>
      </c>
    </row>
    <row r="211" spans="1:17" ht="21.75" x14ac:dyDescent="0.5">
      <c r="A211" s="413">
        <v>186</v>
      </c>
      <c r="B211" s="413"/>
      <c r="C211" s="416" t="s">
        <v>107</v>
      </c>
      <c r="D211" s="417"/>
      <c r="E211" s="417"/>
      <c r="F211" s="417"/>
      <c r="G211" s="417"/>
      <c r="H211" s="417"/>
      <c r="I211" s="417"/>
      <c r="J211" s="417"/>
      <c r="K211" s="417"/>
      <c r="L211" s="417"/>
      <c r="M211" s="417"/>
      <c r="N211" s="416"/>
      <c r="O211" s="417"/>
      <c r="P211" s="417"/>
      <c r="Q211" s="415">
        <f t="shared" si="6"/>
        <v>0</v>
      </c>
    </row>
    <row r="212" spans="1:17" ht="21.75" x14ac:dyDescent="0.5">
      <c r="A212" s="413">
        <v>187</v>
      </c>
      <c r="B212" s="413"/>
      <c r="C212" s="416" t="s">
        <v>2650</v>
      </c>
      <c r="D212" s="417"/>
      <c r="E212" s="417"/>
      <c r="F212" s="417"/>
      <c r="G212" s="417"/>
      <c r="H212" s="417"/>
      <c r="I212" s="417"/>
      <c r="J212" s="417"/>
      <c r="K212" s="417"/>
      <c r="L212" s="417"/>
      <c r="M212" s="417"/>
      <c r="N212" s="414"/>
      <c r="O212" s="417"/>
      <c r="P212" s="417"/>
      <c r="Q212" s="415">
        <f t="shared" si="6"/>
        <v>0</v>
      </c>
    </row>
    <row r="213" spans="1:17" ht="21.75" x14ac:dyDescent="0.5">
      <c r="A213" s="413">
        <v>188</v>
      </c>
      <c r="B213" s="413"/>
      <c r="C213" s="416" t="s">
        <v>2651</v>
      </c>
      <c r="D213" s="417"/>
      <c r="E213" s="417"/>
      <c r="F213" s="417"/>
      <c r="G213" s="417"/>
      <c r="H213" s="417"/>
      <c r="I213" s="417"/>
      <c r="J213" s="417"/>
      <c r="K213" s="417"/>
      <c r="L213" s="417"/>
      <c r="M213" s="417"/>
      <c r="N213" s="416"/>
      <c r="O213" s="417"/>
      <c r="P213" s="417"/>
      <c r="Q213" s="415">
        <f t="shared" si="6"/>
        <v>0</v>
      </c>
    </row>
    <row r="214" spans="1:17" ht="21.75" x14ac:dyDescent="0.5">
      <c r="A214" s="413">
        <v>189</v>
      </c>
      <c r="B214" s="413"/>
      <c r="C214" s="416" t="s">
        <v>2652</v>
      </c>
      <c r="D214" s="417"/>
      <c r="E214" s="417"/>
      <c r="F214" s="417"/>
      <c r="G214" s="417"/>
      <c r="H214" s="417"/>
      <c r="I214" s="417"/>
      <c r="J214" s="417"/>
      <c r="K214" s="417"/>
      <c r="L214" s="417"/>
      <c r="M214" s="417"/>
      <c r="N214" s="414"/>
      <c r="O214" s="417"/>
      <c r="P214" s="417"/>
      <c r="Q214" s="415">
        <f t="shared" si="6"/>
        <v>0</v>
      </c>
    </row>
    <row r="215" spans="1:17" ht="21.75" x14ac:dyDescent="0.5">
      <c r="A215" s="413">
        <v>190</v>
      </c>
      <c r="B215" s="413"/>
      <c r="C215" s="416" t="s">
        <v>2653</v>
      </c>
      <c r="D215" s="417"/>
      <c r="E215" s="417"/>
      <c r="F215" s="417"/>
      <c r="G215" s="417"/>
      <c r="H215" s="417"/>
      <c r="I215" s="417"/>
      <c r="J215" s="417"/>
      <c r="K215" s="417"/>
      <c r="L215" s="417"/>
      <c r="M215" s="417"/>
      <c r="N215" s="416"/>
      <c r="O215" s="417"/>
      <c r="P215" s="417"/>
      <c r="Q215" s="415">
        <f t="shared" si="6"/>
        <v>0</v>
      </c>
    </row>
    <row r="216" spans="1:17" ht="21.75" x14ac:dyDescent="0.5">
      <c r="A216" s="413">
        <v>191</v>
      </c>
      <c r="B216" s="413"/>
      <c r="C216" s="416" t="s">
        <v>2654</v>
      </c>
      <c r="D216" s="417"/>
      <c r="E216" s="417"/>
      <c r="F216" s="417"/>
      <c r="G216" s="417"/>
      <c r="H216" s="417"/>
      <c r="I216" s="417"/>
      <c r="J216" s="417"/>
      <c r="K216" s="417"/>
      <c r="L216" s="417"/>
      <c r="M216" s="417"/>
      <c r="N216" s="414"/>
      <c r="O216" s="417"/>
      <c r="P216" s="417"/>
      <c r="Q216" s="415">
        <f t="shared" si="6"/>
        <v>0</v>
      </c>
    </row>
    <row r="217" spans="1:17" ht="21.75" x14ac:dyDescent="0.5">
      <c r="A217" s="413">
        <v>192</v>
      </c>
      <c r="B217" s="413"/>
      <c r="C217" s="416" t="s">
        <v>2655</v>
      </c>
      <c r="D217" s="417"/>
      <c r="E217" s="417"/>
      <c r="F217" s="417"/>
      <c r="G217" s="417"/>
      <c r="H217" s="417"/>
      <c r="I217" s="417"/>
      <c r="J217" s="417"/>
      <c r="K217" s="417"/>
      <c r="L217" s="417"/>
      <c r="M217" s="417"/>
      <c r="N217" s="416"/>
      <c r="O217" s="417"/>
      <c r="P217" s="417"/>
      <c r="Q217" s="415">
        <f t="shared" si="6"/>
        <v>0</v>
      </c>
    </row>
    <row r="218" spans="1:17" ht="21.75" x14ac:dyDescent="0.5">
      <c r="A218" s="413">
        <v>193</v>
      </c>
      <c r="B218" s="413"/>
      <c r="C218" s="416" t="s">
        <v>2656</v>
      </c>
      <c r="D218" s="417"/>
      <c r="E218" s="417"/>
      <c r="F218" s="417"/>
      <c r="G218" s="417"/>
      <c r="H218" s="417"/>
      <c r="I218" s="417"/>
      <c r="J218" s="417"/>
      <c r="K218" s="417"/>
      <c r="L218" s="417"/>
      <c r="M218" s="417"/>
      <c r="N218" s="414"/>
      <c r="O218" s="417"/>
      <c r="P218" s="417"/>
      <c r="Q218" s="415">
        <f t="shared" si="6"/>
        <v>0</v>
      </c>
    </row>
    <row r="219" spans="1:17" ht="21.75" x14ac:dyDescent="0.5">
      <c r="A219" s="413">
        <v>194</v>
      </c>
      <c r="B219" s="413"/>
      <c r="C219" s="416" t="s">
        <v>2657</v>
      </c>
      <c r="D219" s="417"/>
      <c r="E219" s="417"/>
      <c r="F219" s="417"/>
      <c r="G219" s="417"/>
      <c r="H219" s="417"/>
      <c r="I219" s="417"/>
      <c r="J219" s="417"/>
      <c r="K219" s="417"/>
      <c r="L219" s="417"/>
      <c r="M219" s="417"/>
      <c r="N219" s="416"/>
      <c r="O219" s="417"/>
      <c r="P219" s="417"/>
      <c r="Q219" s="415">
        <f t="shared" si="6"/>
        <v>0</v>
      </c>
    </row>
    <row r="220" spans="1:17" ht="21.75" x14ac:dyDescent="0.5">
      <c r="A220" s="413">
        <v>195</v>
      </c>
      <c r="B220" s="413"/>
      <c r="C220" s="416" t="s">
        <v>2658</v>
      </c>
      <c r="D220" s="417"/>
      <c r="E220" s="417"/>
      <c r="F220" s="417"/>
      <c r="G220" s="417"/>
      <c r="H220" s="417"/>
      <c r="I220" s="417"/>
      <c r="J220" s="417"/>
      <c r="K220" s="417"/>
      <c r="L220" s="417"/>
      <c r="M220" s="417"/>
      <c r="N220" s="416"/>
      <c r="O220" s="417"/>
      <c r="P220" s="417"/>
      <c r="Q220" s="415">
        <f t="shared" si="6"/>
        <v>0</v>
      </c>
    </row>
    <row r="221" spans="1:17" ht="21.75" x14ac:dyDescent="0.5">
      <c r="A221" s="413">
        <v>196</v>
      </c>
      <c r="B221" s="413"/>
      <c r="C221" s="416" t="s">
        <v>2659</v>
      </c>
      <c r="D221" s="417"/>
      <c r="E221" s="417"/>
      <c r="F221" s="417"/>
      <c r="G221" s="417"/>
      <c r="H221" s="417"/>
      <c r="I221" s="417"/>
      <c r="J221" s="417"/>
      <c r="K221" s="417"/>
      <c r="L221" s="417"/>
      <c r="M221" s="417"/>
      <c r="N221" s="416"/>
      <c r="O221" s="417"/>
      <c r="P221" s="417"/>
      <c r="Q221" s="415">
        <f t="shared" si="6"/>
        <v>0</v>
      </c>
    </row>
    <row r="222" spans="1:17" ht="21.75" x14ac:dyDescent="0.5">
      <c r="A222" s="413">
        <v>197</v>
      </c>
      <c r="B222" s="413"/>
      <c r="C222" s="416" t="s">
        <v>2660</v>
      </c>
      <c r="D222" s="417"/>
      <c r="E222" s="417"/>
      <c r="F222" s="417"/>
      <c r="G222" s="417"/>
      <c r="H222" s="417"/>
      <c r="I222" s="417"/>
      <c r="J222" s="417"/>
      <c r="K222" s="417"/>
      <c r="L222" s="417"/>
      <c r="M222" s="417"/>
      <c r="N222" s="416"/>
      <c r="O222" s="417"/>
      <c r="P222" s="417"/>
      <c r="Q222" s="415">
        <f t="shared" si="6"/>
        <v>0</v>
      </c>
    </row>
    <row r="223" spans="1:17" ht="21.75" x14ac:dyDescent="0.5">
      <c r="A223" s="413">
        <v>198</v>
      </c>
      <c r="B223" s="413"/>
      <c r="C223" s="416" t="s">
        <v>2661</v>
      </c>
      <c r="D223" s="417"/>
      <c r="E223" s="417"/>
      <c r="F223" s="417"/>
      <c r="G223" s="417"/>
      <c r="H223" s="417"/>
      <c r="I223" s="417"/>
      <c r="J223" s="417"/>
      <c r="K223" s="417"/>
      <c r="L223" s="417"/>
      <c r="M223" s="417"/>
      <c r="N223" s="416"/>
      <c r="O223" s="417"/>
      <c r="P223" s="417"/>
      <c r="Q223" s="415">
        <f t="shared" si="6"/>
        <v>0</v>
      </c>
    </row>
    <row r="224" spans="1:17" ht="21.75" x14ac:dyDescent="0.5">
      <c r="A224" s="413">
        <v>199</v>
      </c>
      <c r="B224" s="413"/>
      <c r="C224" s="416" t="s">
        <v>2662</v>
      </c>
      <c r="D224" s="417"/>
      <c r="E224" s="417"/>
      <c r="F224" s="417"/>
      <c r="G224" s="417"/>
      <c r="H224" s="417"/>
      <c r="I224" s="417"/>
      <c r="J224" s="417"/>
      <c r="K224" s="417"/>
      <c r="L224" s="417"/>
      <c r="M224" s="417"/>
      <c r="N224" s="414"/>
      <c r="O224" s="417"/>
      <c r="P224" s="417"/>
      <c r="Q224" s="415">
        <f t="shared" si="6"/>
        <v>0</v>
      </c>
    </row>
    <row r="225" spans="1:17" ht="21.75" x14ac:dyDescent="0.5">
      <c r="A225" s="413">
        <v>200</v>
      </c>
      <c r="B225" s="413"/>
      <c r="C225" s="416" t="s">
        <v>2663</v>
      </c>
      <c r="D225" s="417"/>
      <c r="E225" s="417"/>
      <c r="F225" s="417"/>
      <c r="G225" s="417"/>
      <c r="H225" s="417"/>
      <c r="I225" s="417"/>
      <c r="J225" s="417"/>
      <c r="K225" s="417"/>
      <c r="L225" s="417"/>
      <c r="M225" s="417"/>
      <c r="N225" s="416"/>
      <c r="O225" s="417"/>
      <c r="P225" s="417"/>
      <c r="Q225" s="415">
        <f t="shared" si="6"/>
        <v>0</v>
      </c>
    </row>
    <row r="226" spans="1:17" ht="21.75" x14ac:dyDescent="0.5">
      <c r="A226" s="413">
        <v>201</v>
      </c>
      <c r="B226" s="413"/>
      <c r="C226" s="416" t="s">
        <v>2664</v>
      </c>
      <c r="D226" s="417"/>
      <c r="E226" s="417"/>
      <c r="F226" s="417"/>
      <c r="G226" s="417"/>
      <c r="H226" s="417"/>
      <c r="I226" s="417"/>
      <c r="J226" s="417"/>
      <c r="K226" s="417"/>
      <c r="L226" s="417"/>
      <c r="M226" s="417"/>
      <c r="N226" s="414"/>
      <c r="O226" s="417"/>
      <c r="P226" s="417"/>
      <c r="Q226" s="415">
        <f t="shared" si="6"/>
        <v>0</v>
      </c>
    </row>
    <row r="227" spans="1:17" ht="21.75" x14ac:dyDescent="0.5">
      <c r="A227" s="413">
        <v>202</v>
      </c>
      <c r="B227" s="413"/>
      <c r="C227" s="416" t="s">
        <v>2665</v>
      </c>
      <c r="D227" s="417"/>
      <c r="E227" s="417"/>
      <c r="F227" s="417"/>
      <c r="G227" s="417"/>
      <c r="H227" s="417"/>
      <c r="I227" s="417"/>
      <c r="J227" s="417"/>
      <c r="K227" s="417"/>
      <c r="L227" s="417"/>
      <c r="M227" s="417"/>
      <c r="N227" s="414"/>
      <c r="O227" s="417"/>
      <c r="P227" s="417"/>
      <c r="Q227" s="415">
        <f t="shared" si="6"/>
        <v>0</v>
      </c>
    </row>
    <row r="228" spans="1:17" ht="21.75" x14ac:dyDescent="0.5">
      <c r="A228" s="413">
        <v>203</v>
      </c>
      <c r="B228" s="413"/>
      <c r="C228" s="416" t="s">
        <v>2666</v>
      </c>
      <c r="D228" s="417"/>
      <c r="E228" s="417"/>
      <c r="F228" s="417"/>
      <c r="G228" s="417"/>
      <c r="H228" s="417"/>
      <c r="I228" s="417"/>
      <c r="J228" s="417"/>
      <c r="K228" s="417"/>
      <c r="L228" s="417"/>
      <c r="M228" s="417"/>
      <c r="N228" s="414"/>
      <c r="O228" s="417"/>
      <c r="P228" s="417"/>
      <c r="Q228" s="415">
        <f t="shared" si="6"/>
        <v>0</v>
      </c>
    </row>
    <row r="229" spans="1:17" ht="21.75" x14ac:dyDescent="0.5">
      <c r="A229" s="413">
        <v>204</v>
      </c>
      <c r="B229" s="413"/>
      <c r="C229" s="416" t="s">
        <v>2667</v>
      </c>
      <c r="D229" s="417"/>
      <c r="E229" s="417"/>
      <c r="F229" s="417"/>
      <c r="G229" s="417"/>
      <c r="H229" s="417"/>
      <c r="I229" s="417"/>
      <c r="J229" s="417"/>
      <c r="K229" s="417"/>
      <c r="L229" s="417"/>
      <c r="M229" s="417"/>
      <c r="N229" s="414"/>
      <c r="O229" s="417"/>
      <c r="P229" s="417"/>
      <c r="Q229" s="415">
        <f t="shared" ref="Q229:Q250" si="7">SUM(D229:P229)</f>
        <v>0</v>
      </c>
    </row>
    <row r="230" spans="1:17" ht="21.75" x14ac:dyDescent="0.5">
      <c r="A230" s="413">
        <v>205</v>
      </c>
      <c r="B230" s="413"/>
      <c r="C230" s="416" t="s">
        <v>2668</v>
      </c>
      <c r="D230" s="417"/>
      <c r="E230" s="417"/>
      <c r="F230" s="417"/>
      <c r="G230" s="417"/>
      <c r="H230" s="417"/>
      <c r="I230" s="417"/>
      <c r="J230" s="417"/>
      <c r="K230" s="417"/>
      <c r="L230" s="417"/>
      <c r="M230" s="417"/>
      <c r="N230" s="414"/>
      <c r="O230" s="417"/>
      <c r="P230" s="417"/>
      <c r="Q230" s="415">
        <f t="shared" si="7"/>
        <v>0</v>
      </c>
    </row>
    <row r="231" spans="1:17" ht="21.75" x14ac:dyDescent="0.5">
      <c r="A231" s="413">
        <v>206</v>
      </c>
      <c r="B231" s="413"/>
      <c r="C231" s="416" t="s">
        <v>2669</v>
      </c>
      <c r="D231" s="417"/>
      <c r="E231" s="417"/>
      <c r="F231" s="417"/>
      <c r="G231" s="417"/>
      <c r="H231" s="417"/>
      <c r="I231" s="417"/>
      <c r="J231" s="417"/>
      <c r="K231" s="417"/>
      <c r="L231" s="417"/>
      <c r="M231" s="417"/>
      <c r="N231" s="414"/>
      <c r="O231" s="417"/>
      <c r="P231" s="417"/>
      <c r="Q231" s="415">
        <f t="shared" si="7"/>
        <v>0</v>
      </c>
    </row>
    <row r="232" spans="1:17" ht="21.75" x14ac:dyDescent="0.5">
      <c r="A232" s="413">
        <v>207</v>
      </c>
      <c r="B232" s="413"/>
      <c r="C232" s="416" t="s">
        <v>2670</v>
      </c>
      <c r="D232" s="417"/>
      <c r="E232" s="417"/>
      <c r="F232" s="417"/>
      <c r="G232" s="417"/>
      <c r="H232" s="417"/>
      <c r="I232" s="417"/>
      <c r="J232" s="417"/>
      <c r="K232" s="417"/>
      <c r="L232" s="417"/>
      <c r="M232" s="417"/>
      <c r="N232" s="414"/>
      <c r="O232" s="417"/>
      <c r="P232" s="417"/>
      <c r="Q232" s="415">
        <f t="shared" si="7"/>
        <v>0</v>
      </c>
    </row>
    <row r="233" spans="1:17" ht="21.75" x14ac:dyDescent="0.5">
      <c r="A233" s="413">
        <v>208</v>
      </c>
      <c r="B233" s="413"/>
      <c r="C233" s="416" t="s">
        <v>668</v>
      </c>
      <c r="D233" s="417"/>
      <c r="E233" s="417"/>
      <c r="F233" s="417"/>
      <c r="G233" s="417"/>
      <c r="H233" s="417"/>
      <c r="I233" s="417"/>
      <c r="J233" s="417"/>
      <c r="K233" s="417"/>
      <c r="L233" s="417"/>
      <c r="M233" s="417"/>
      <c r="N233" s="414"/>
      <c r="O233" s="417"/>
      <c r="P233" s="417"/>
      <c r="Q233" s="415">
        <f t="shared" si="7"/>
        <v>0</v>
      </c>
    </row>
    <row r="234" spans="1:17" ht="21.75" x14ac:dyDescent="0.5">
      <c r="A234" s="413">
        <v>209</v>
      </c>
      <c r="B234" s="413"/>
      <c r="C234" s="416" t="s">
        <v>976</v>
      </c>
      <c r="D234" s="417"/>
      <c r="E234" s="417"/>
      <c r="F234" s="417"/>
      <c r="G234" s="417"/>
      <c r="H234" s="417"/>
      <c r="I234" s="417"/>
      <c r="J234" s="417"/>
      <c r="K234" s="417"/>
      <c r="L234" s="417"/>
      <c r="M234" s="417"/>
      <c r="N234" s="414"/>
      <c r="O234" s="417"/>
      <c r="P234" s="417"/>
      <c r="Q234" s="415">
        <f t="shared" si="7"/>
        <v>0</v>
      </c>
    </row>
    <row r="235" spans="1:17" ht="21.75" x14ac:dyDescent="0.5">
      <c r="A235" s="413">
        <v>210</v>
      </c>
      <c r="B235" s="413"/>
      <c r="C235" s="420" t="s">
        <v>2671</v>
      </c>
      <c r="D235" s="417"/>
      <c r="E235" s="417"/>
      <c r="F235" s="417"/>
      <c r="G235" s="417"/>
      <c r="H235" s="417"/>
      <c r="I235" s="417"/>
      <c r="J235" s="417"/>
      <c r="K235" s="417"/>
      <c r="L235" s="417"/>
      <c r="M235" s="417"/>
      <c r="N235" s="414"/>
      <c r="O235" s="417"/>
      <c r="P235" s="417"/>
      <c r="Q235" s="415">
        <f t="shared" si="7"/>
        <v>0</v>
      </c>
    </row>
    <row r="236" spans="1:17" ht="21.75" x14ac:dyDescent="0.5">
      <c r="A236" s="413">
        <v>211</v>
      </c>
      <c r="B236" s="413"/>
      <c r="C236" s="420" t="s">
        <v>2672</v>
      </c>
      <c r="D236" s="417"/>
      <c r="E236" s="417"/>
      <c r="F236" s="417"/>
      <c r="G236" s="417"/>
      <c r="H236" s="417"/>
      <c r="I236" s="417"/>
      <c r="J236" s="417"/>
      <c r="K236" s="417"/>
      <c r="L236" s="417"/>
      <c r="M236" s="417"/>
      <c r="N236" s="416"/>
      <c r="O236" s="417"/>
      <c r="P236" s="417"/>
      <c r="Q236" s="415">
        <f t="shared" si="7"/>
        <v>0</v>
      </c>
    </row>
    <row r="237" spans="1:17" ht="21.75" x14ac:dyDescent="0.5">
      <c r="A237" s="413">
        <v>212</v>
      </c>
      <c r="B237" s="413"/>
      <c r="C237" s="416" t="s">
        <v>2143</v>
      </c>
      <c r="D237" s="417"/>
      <c r="E237" s="417"/>
      <c r="F237" s="417"/>
      <c r="G237" s="417"/>
      <c r="H237" s="417"/>
      <c r="I237" s="417"/>
      <c r="J237" s="417"/>
      <c r="K237" s="417"/>
      <c r="L237" s="417"/>
      <c r="M237" s="417"/>
      <c r="N237" s="414"/>
      <c r="O237" s="417"/>
      <c r="P237" s="417"/>
      <c r="Q237" s="415">
        <f t="shared" si="7"/>
        <v>0</v>
      </c>
    </row>
    <row r="238" spans="1:17" ht="21.75" x14ac:dyDescent="0.5">
      <c r="A238" s="413">
        <v>213</v>
      </c>
      <c r="B238" s="413" t="s">
        <v>251</v>
      </c>
      <c r="C238" s="416" t="s">
        <v>2123</v>
      </c>
      <c r="D238" s="417"/>
      <c r="E238" s="417"/>
      <c r="F238" s="417"/>
      <c r="G238" s="417"/>
      <c r="H238" s="417"/>
      <c r="I238" s="417"/>
      <c r="J238" s="417"/>
      <c r="K238" s="417"/>
      <c r="L238" s="417"/>
      <c r="M238" s="417"/>
      <c r="N238" s="416"/>
      <c r="O238" s="417"/>
      <c r="P238" s="417"/>
      <c r="Q238" s="415">
        <f t="shared" si="7"/>
        <v>0</v>
      </c>
    </row>
    <row r="239" spans="1:17" ht="21.75" x14ac:dyDescent="0.5">
      <c r="A239" s="413">
        <v>214</v>
      </c>
      <c r="B239" s="413"/>
      <c r="C239" s="416" t="s">
        <v>2673</v>
      </c>
      <c r="D239" s="417"/>
      <c r="E239" s="417"/>
      <c r="F239" s="417"/>
      <c r="G239" s="417"/>
      <c r="H239" s="417"/>
      <c r="I239" s="417"/>
      <c r="J239" s="417"/>
      <c r="K239" s="417"/>
      <c r="L239" s="417"/>
      <c r="M239" s="417"/>
      <c r="N239" s="414"/>
      <c r="O239" s="417"/>
      <c r="P239" s="417"/>
      <c r="Q239" s="415">
        <f t="shared" si="7"/>
        <v>0</v>
      </c>
    </row>
    <row r="240" spans="1:17" ht="21.75" x14ac:dyDescent="0.5">
      <c r="A240" s="413">
        <v>215</v>
      </c>
      <c r="B240" s="413"/>
      <c r="C240" s="416" t="s">
        <v>2674</v>
      </c>
      <c r="D240" s="417"/>
      <c r="E240" s="417"/>
      <c r="F240" s="417"/>
      <c r="G240" s="417"/>
      <c r="H240" s="417"/>
      <c r="I240" s="417"/>
      <c r="J240" s="417"/>
      <c r="K240" s="417"/>
      <c r="L240" s="417"/>
      <c r="M240" s="417"/>
      <c r="N240" s="416"/>
      <c r="O240" s="417"/>
      <c r="P240" s="417"/>
      <c r="Q240" s="415">
        <f t="shared" si="7"/>
        <v>0</v>
      </c>
    </row>
    <row r="241" spans="1:17" ht="21.75" x14ac:dyDescent="0.5">
      <c r="A241" s="413">
        <v>216</v>
      </c>
      <c r="B241" s="413" t="s">
        <v>28</v>
      </c>
      <c r="C241" s="416" t="s">
        <v>2675</v>
      </c>
      <c r="D241" s="417"/>
      <c r="E241" s="417"/>
      <c r="F241" s="417"/>
      <c r="G241" s="417"/>
      <c r="H241" s="417"/>
      <c r="I241" s="417"/>
      <c r="J241" s="417"/>
      <c r="K241" s="417"/>
      <c r="L241" s="417"/>
      <c r="M241" s="417"/>
      <c r="N241" s="416"/>
      <c r="O241" s="417"/>
      <c r="P241" s="417"/>
      <c r="Q241" s="415">
        <f t="shared" si="7"/>
        <v>0</v>
      </c>
    </row>
    <row r="242" spans="1:17" ht="21.75" x14ac:dyDescent="0.5">
      <c r="A242" s="413">
        <v>217</v>
      </c>
      <c r="B242" s="413"/>
      <c r="C242" s="416" t="s">
        <v>2676</v>
      </c>
      <c r="D242" s="417"/>
      <c r="E242" s="417"/>
      <c r="F242" s="417"/>
      <c r="G242" s="417"/>
      <c r="H242" s="417"/>
      <c r="I242" s="417"/>
      <c r="J242" s="417"/>
      <c r="K242" s="417"/>
      <c r="L242" s="417"/>
      <c r="M242" s="417"/>
      <c r="N242" s="416"/>
      <c r="O242" s="417"/>
      <c r="P242" s="417"/>
      <c r="Q242" s="415">
        <f t="shared" si="7"/>
        <v>0</v>
      </c>
    </row>
    <row r="243" spans="1:17" ht="21.75" x14ac:dyDescent="0.5">
      <c r="A243" s="413">
        <v>218</v>
      </c>
      <c r="B243" s="413"/>
      <c r="C243" s="416" t="s">
        <v>2677</v>
      </c>
      <c r="D243" s="417"/>
      <c r="E243" s="417"/>
      <c r="F243" s="417"/>
      <c r="G243" s="417"/>
      <c r="H243" s="417"/>
      <c r="I243" s="417"/>
      <c r="J243" s="417"/>
      <c r="K243" s="417"/>
      <c r="L243" s="417"/>
      <c r="M243" s="417"/>
      <c r="N243" s="414"/>
      <c r="O243" s="417"/>
      <c r="P243" s="417"/>
      <c r="Q243" s="415">
        <f t="shared" si="7"/>
        <v>0</v>
      </c>
    </row>
    <row r="244" spans="1:17" ht="21.75" x14ac:dyDescent="0.5">
      <c r="A244" s="413">
        <v>219</v>
      </c>
      <c r="B244" s="413"/>
      <c r="C244" s="416" t="s">
        <v>2678</v>
      </c>
      <c r="D244" s="417"/>
      <c r="E244" s="417"/>
      <c r="F244" s="417"/>
      <c r="G244" s="417"/>
      <c r="H244" s="417"/>
      <c r="I244" s="417"/>
      <c r="J244" s="417"/>
      <c r="K244" s="417"/>
      <c r="L244" s="417"/>
      <c r="M244" s="417"/>
      <c r="N244" s="416"/>
      <c r="O244" s="417"/>
      <c r="P244" s="417"/>
      <c r="Q244" s="415">
        <f t="shared" si="7"/>
        <v>0</v>
      </c>
    </row>
    <row r="245" spans="1:17" ht="21.75" x14ac:dyDescent="0.5">
      <c r="A245" s="413">
        <v>220</v>
      </c>
      <c r="B245" s="413"/>
      <c r="C245" s="416" t="s">
        <v>2679</v>
      </c>
      <c r="D245" s="417"/>
      <c r="E245" s="417"/>
      <c r="F245" s="417"/>
      <c r="G245" s="417"/>
      <c r="H245" s="417"/>
      <c r="I245" s="417"/>
      <c r="J245" s="417"/>
      <c r="K245" s="417"/>
      <c r="L245" s="417"/>
      <c r="M245" s="417"/>
      <c r="N245" s="416"/>
      <c r="O245" s="417"/>
      <c r="P245" s="417"/>
      <c r="Q245" s="415">
        <f t="shared" si="7"/>
        <v>0</v>
      </c>
    </row>
    <row r="246" spans="1:17" ht="21.75" x14ac:dyDescent="0.5">
      <c r="A246" s="413">
        <v>221</v>
      </c>
      <c r="B246" s="413"/>
      <c r="C246" s="416" t="s">
        <v>2680</v>
      </c>
      <c r="D246" s="417"/>
      <c r="E246" s="417"/>
      <c r="F246" s="417"/>
      <c r="G246" s="417"/>
      <c r="H246" s="417"/>
      <c r="I246" s="417"/>
      <c r="J246" s="417"/>
      <c r="K246" s="417"/>
      <c r="L246" s="417"/>
      <c r="M246" s="417"/>
      <c r="N246" s="414"/>
      <c r="O246" s="417"/>
      <c r="P246" s="417"/>
      <c r="Q246" s="415">
        <f t="shared" si="7"/>
        <v>0</v>
      </c>
    </row>
    <row r="247" spans="1:17" ht="21.75" x14ac:dyDescent="0.5">
      <c r="A247" s="413">
        <v>222</v>
      </c>
      <c r="B247" s="413"/>
      <c r="C247" s="416" t="s">
        <v>2681</v>
      </c>
      <c r="D247" s="417"/>
      <c r="E247" s="417"/>
      <c r="F247" s="417"/>
      <c r="G247" s="417"/>
      <c r="H247" s="417"/>
      <c r="I247" s="417"/>
      <c r="J247" s="417"/>
      <c r="K247" s="417"/>
      <c r="L247" s="417"/>
      <c r="M247" s="417"/>
      <c r="N247" s="416"/>
      <c r="O247" s="417"/>
      <c r="P247" s="417"/>
      <c r="Q247" s="415">
        <f t="shared" si="7"/>
        <v>0</v>
      </c>
    </row>
    <row r="248" spans="1:17" ht="21.75" x14ac:dyDescent="0.5">
      <c r="A248" s="413">
        <v>223</v>
      </c>
      <c r="B248" s="413"/>
      <c r="C248" s="416" t="s">
        <v>2682</v>
      </c>
      <c r="D248" s="417"/>
      <c r="E248" s="417"/>
      <c r="F248" s="417"/>
      <c r="G248" s="417"/>
      <c r="H248" s="417"/>
      <c r="I248" s="417"/>
      <c r="J248" s="417"/>
      <c r="K248" s="417"/>
      <c r="L248" s="417"/>
      <c r="M248" s="417"/>
      <c r="N248" s="414"/>
      <c r="O248" s="417"/>
      <c r="P248" s="417"/>
      <c r="Q248" s="415">
        <f t="shared" si="7"/>
        <v>0</v>
      </c>
    </row>
    <row r="249" spans="1:17" ht="21.75" x14ac:dyDescent="0.5">
      <c r="A249" s="413">
        <v>224</v>
      </c>
      <c r="B249" s="413"/>
      <c r="C249" s="416" t="s">
        <v>575</v>
      </c>
      <c r="D249" s="417"/>
      <c r="E249" s="417"/>
      <c r="F249" s="417"/>
      <c r="G249" s="417"/>
      <c r="H249" s="417"/>
      <c r="I249" s="417"/>
      <c r="J249" s="417"/>
      <c r="K249" s="417"/>
      <c r="L249" s="417"/>
      <c r="M249" s="417"/>
      <c r="N249" s="414"/>
      <c r="O249" s="417"/>
      <c r="P249" s="417"/>
      <c r="Q249" s="415">
        <f t="shared" si="7"/>
        <v>0</v>
      </c>
    </row>
    <row r="250" spans="1:17" ht="21.75" x14ac:dyDescent="0.5">
      <c r="A250" s="413"/>
      <c r="B250" s="413" t="s">
        <v>251</v>
      </c>
      <c r="C250" s="416" t="s">
        <v>2683</v>
      </c>
      <c r="D250" s="417"/>
      <c r="E250" s="417"/>
      <c r="F250" s="417"/>
      <c r="G250" s="417"/>
      <c r="H250" s="417"/>
      <c r="I250" s="417"/>
      <c r="J250" s="417"/>
      <c r="K250" s="417"/>
      <c r="L250" s="417"/>
      <c r="M250" s="417"/>
      <c r="N250" s="416"/>
      <c r="O250" s="417"/>
      <c r="P250" s="417"/>
      <c r="Q250" s="415">
        <f t="shared" si="7"/>
        <v>0</v>
      </c>
    </row>
    <row r="251" spans="1:17" ht="21.75" x14ac:dyDescent="0.5">
      <c r="A251" s="413">
        <v>225</v>
      </c>
      <c r="B251" s="413"/>
      <c r="C251" s="418" t="s">
        <v>2684</v>
      </c>
      <c r="D251" s="417"/>
      <c r="E251" s="417"/>
      <c r="F251" s="417"/>
      <c r="G251" s="417"/>
      <c r="H251" s="417"/>
      <c r="I251" s="417"/>
      <c r="J251" s="417"/>
      <c r="K251" s="417"/>
      <c r="L251" s="417"/>
      <c r="M251" s="417"/>
      <c r="N251" s="416"/>
      <c r="O251" s="417"/>
      <c r="P251" s="417"/>
      <c r="Q251" s="415"/>
    </row>
    <row r="252" spans="1:17" ht="21.75" x14ac:dyDescent="0.5">
      <c r="A252" s="413">
        <v>226</v>
      </c>
      <c r="B252" s="413"/>
      <c r="C252" s="416" t="s">
        <v>596</v>
      </c>
      <c r="D252" s="417"/>
      <c r="E252" s="417"/>
      <c r="F252" s="417"/>
      <c r="G252" s="417"/>
      <c r="H252" s="417"/>
      <c r="I252" s="417"/>
      <c r="J252" s="417"/>
      <c r="K252" s="417"/>
      <c r="L252" s="417"/>
      <c r="M252" s="417"/>
      <c r="N252" s="416"/>
      <c r="O252" s="417"/>
      <c r="P252" s="417"/>
      <c r="Q252" s="415">
        <f t="shared" ref="Q252:Q272" si="8">SUM(D252:P252)</f>
        <v>0</v>
      </c>
    </row>
    <row r="253" spans="1:17" ht="21.75" x14ac:dyDescent="0.5">
      <c r="A253" s="413">
        <v>227</v>
      </c>
      <c r="B253" s="413"/>
      <c r="C253" s="416" t="s">
        <v>599</v>
      </c>
      <c r="D253" s="417"/>
      <c r="E253" s="417"/>
      <c r="F253" s="417"/>
      <c r="G253" s="417"/>
      <c r="H253" s="417"/>
      <c r="I253" s="417"/>
      <c r="J253" s="417"/>
      <c r="K253" s="417"/>
      <c r="L253" s="417"/>
      <c r="M253" s="417"/>
      <c r="N253" s="416"/>
      <c r="O253" s="417"/>
      <c r="P253" s="417"/>
      <c r="Q253" s="415">
        <f t="shared" si="8"/>
        <v>0</v>
      </c>
    </row>
    <row r="254" spans="1:17" ht="21.75" x14ac:dyDescent="0.5">
      <c r="A254" s="413">
        <v>228</v>
      </c>
      <c r="B254" s="413"/>
      <c r="C254" s="416" t="s">
        <v>2685</v>
      </c>
      <c r="D254" s="417"/>
      <c r="E254" s="417"/>
      <c r="F254" s="417"/>
      <c r="G254" s="417"/>
      <c r="H254" s="417"/>
      <c r="I254" s="417"/>
      <c r="J254" s="417"/>
      <c r="K254" s="417"/>
      <c r="L254" s="417"/>
      <c r="M254" s="417"/>
      <c r="N254" s="414"/>
      <c r="O254" s="417"/>
      <c r="P254" s="417"/>
      <c r="Q254" s="415">
        <f t="shared" si="8"/>
        <v>0</v>
      </c>
    </row>
    <row r="255" spans="1:17" ht="21.75" x14ac:dyDescent="0.5">
      <c r="A255" s="413">
        <v>229</v>
      </c>
      <c r="B255" s="413" t="s">
        <v>28</v>
      </c>
      <c r="C255" s="416" t="s">
        <v>605</v>
      </c>
      <c r="D255" s="417"/>
      <c r="E255" s="417"/>
      <c r="F255" s="417"/>
      <c r="G255" s="417"/>
      <c r="H255" s="417"/>
      <c r="I255" s="417"/>
      <c r="J255" s="417"/>
      <c r="K255" s="417"/>
      <c r="L255" s="417"/>
      <c r="M255" s="417"/>
      <c r="N255" s="416"/>
      <c r="O255" s="417"/>
      <c r="P255" s="417"/>
      <c r="Q255" s="415">
        <f t="shared" si="8"/>
        <v>0</v>
      </c>
    </row>
    <row r="256" spans="1:17" ht="21.75" x14ac:dyDescent="0.5">
      <c r="A256" s="413">
        <v>230</v>
      </c>
      <c r="B256" s="413" t="s">
        <v>28</v>
      </c>
      <c r="C256" s="416" t="s">
        <v>610</v>
      </c>
      <c r="D256" s="417"/>
      <c r="E256" s="417"/>
      <c r="F256" s="417"/>
      <c r="G256" s="417"/>
      <c r="H256" s="417"/>
      <c r="I256" s="417"/>
      <c r="J256" s="417"/>
      <c r="K256" s="417"/>
      <c r="L256" s="417"/>
      <c r="M256" s="417"/>
      <c r="N256" s="416"/>
      <c r="O256" s="417"/>
      <c r="P256" s="417"/>
      <c r="Q256" s="415">
        <f t="shared" si="8"/>
        <v>0</v>
      </c>
    </row>
    <row r="257" spans="1:17" ht="21.75" x14ac:dyDescent="0.5">
      <c r="A257" s="413">
        <v>231</v>
      </c>
      <c r="B257" s="413" t="s">
        <v>28</v>
      </c>
      <c r="C257" s="416" t="s">
        <v>2105</v>
      </c>
      <c r="D257" s="417"/>
      <c r="E257" s="417"/>
      <c r="F257" s="417"/>
      <c r="G257" s="417"/>
      <c r="H257" s="417"/>
      <c r="I257" s="417"/>
      <c r="J257" s="417"/>
      <c r="K257" s="417"/>
      <c r="L257" s="417"/>
      <c r="M257" s="417"/>
      <c r="N257" s="416"/>
      <c r="O257" s="417"/>
      <c r="P257" s="417"/>
      <c r="Q257" s="415">
        <f t="shared" si="8"/>
        <v>0</v>
      </c>
    </row>
    <row r="258" spans="1:17" ht="21.75" x14ac:dyDescent="0.5">
      <c r="A258" s="413">
        <v>232</v>
      </c>
      <c r="B258" s="413"/>
      <c r="C258" s="416" t="s">
        <v>2104</v>
      </c>
      <c r="D258" s="417"/>
      <c r="E258" s="417"/>
      <c r="F258" s="417"/>
      <c r="G258" s="417"/>
      <c r="H258" s="417"/>
      <c r="I258" s="417"/>
      <c r="J258" s="417"/>
      <c r="K258" s="417"/>
      <c r="L258" s="417"/>
      <c r="M258" s="417"/>
      <c r="N258" s="416"/>
      <c r="O258" s="417"/>
      <c r="P258" s="417"/>
      <c r="Q258" s="415">
        <f t="shared" si="8"/>
        <v>0</v>
      </c>
    </row>
    <row r="259" spans="1:17" ht="21.75" x14ac:dyDescent="0.5">
      <c r="A259" s="413">
        <v>233</v>
      </c>
      <c r="B259" s="413" t="s">
        <v>28</v>
      </c>
      <c r="C259" s="416" t="s">
        <v>639</v>
      </c>
      <c r="D259" s="417"/>
      <c r="E259" s="417"/>
      <c r="F259" s="417"/>
      <c r="G259" s="417"/>
      <c r="H259" s="417"/>
      <c r="I259" s="417"/>
      <c r="J259" s="417"/>
      <c r="K259" s="417"/>
      <c r="L259" s="417"/>
      <c r="M259" s="417"/>
      <c r="N259" s="414"/>
      <c r="O259" s="417"/>
      <c r="P259" s="417"/>
      <c r="Q259" s="415">
        <f t="shared" si="8"/>
        <v>0</v>
      </c>
    </row>
    <row r="260" spans="1:17" ht="21.75" x14ac:dyDescent="0.5">
      <c r="A260" s="413">
        <v>234</v>
      </c>
      <c r="B260" s="413" t="s">
        <v>28</v>
      </c>
      <c r="C260" s="416" t="s">
        <v>650</v>
      </c>
      <c r="D260" s="417"/>
      <c r="E260" s="417"/>
      <c r="F260" s="417"/>
      <c r="G260" s="417"/>
      <c r="H260" s="417"/>
      <c r="I260" s="417"/>
      <c r="J260" s="417"/>
      <c r="K260" s="417"/>
      <c r="L260" s="417"/>
      <c r="M260" s="417"/>
      <c r="N260" s="416"/>
      <c r="O260" s="417"/>
      <c r="P260" s="417"/>
      <c r="Q260" s="415">
        <f t="shared" si="8"/>
        <v>0</v>
      </c>
    </row>
    <row r="261" spans="1:17" ht="21.75" x14ac:dyDescent="0.5">
      <c r="A261" s="413">
        <v>235</v>
      </c>
      <c r="B261" s="413" t="s">
        <v>2152</v>
      </c>
      <c r="C261" s="416" t="s">
        <v>2400</v>
      </c>
      <c r="D261" s="417"/>
      <c r="E261" s="417"/>
      <c r="F261" s="417"/>
      <c r="G261" s="417"/>
      <c r="H261" s="417"/>
      <c r="I261" s="417"/>
      <c r="J261" s="417"/>
      <c r="K261" s="417"/>
      <c r="L261" s="417"/>
      <c r="M261" s="417"/>
      <c r="N261" s="416"/>
      <c r="O261" s="417"/>
      <c r="P261" s="417"/>
      <c r="Q261" s="415">
        <f t="shared" si="8"/>
        <v>0</v>
      </c>
    </row>
    <row r="262" spans="1:17" ht="21.75" x14ac:dyDescent="0.5">
      <c r="A262" s="413">
        <v>236</v>
      </c>
      <c r="B262" s="413" t="s">
        <v>2132</v>
      </c>
      <c r="C262" s="416" t="s">
        <v>669</v>
      </c>
      <c r="D262" s="417"/>
      <c r="E262" s="417"/>
      <c r="F262" s="417"/>
      <c r="G262" s="417"/>
      <c r="H262" s="417"/>
      <c r="I262" s="417"/>
      <c r="J262" s="417"/>
      <c r="K262" s="417"/>
      <c r="L262" s="417"/>
      <c r="M262" s="417"/>
      <c r="N262" s="414"/>
      <c r="O262" s="417"/>
      <c r="P262" s="417"/>
      <c r="Q262" s="415">
        <f t="shared" si="8"/>
        <v>0</v>
      </c>
    </row>
    <row r="263" spans="1:17" ht="21.75" x14ac:dyDescent="0.5">
      <c r="A263" s="413">
        <v>237</v>
      </c>
      <c r="B263" s="413"/>
      <c r="C263" s="416" t="s">
        <v>677</v>
      </c>
      <c r="D263" s="417"/>
      <c r="E263" s="417"/>
      <c r="F263" s="417"/>
      <c r="G263" s="417"/>
      <c r="H263" s="417"/>
      <c r="I263" s="417"/>
      <c r="J263" s="417"/>
      <c r="K263" s="417"/>
      <c r="L263" s="417"/>
      <c r="M263" s="417"/>
      <c r="N263" s="416"/>
      <c r="O263" s="417"/>
      <c r="P263" s="417"/>
      <c r="Q263" s="415">
        <f t="shared" si="8"/>
        <v>0</v>
      </c>
    </row>
    <row r="264" spans="1:17" ht="21.75" x14ac:dyDescent="0.5">
      <c r="A264" s="413">
        <v>238</v>
      </c>
      <c r="B264" s="413"/>
      <c r="C264" s="416" t="s">
        <v>688</v>
      </c>
      <c r="D264" s="417"/>
      <c r="E264" s="417"/>
      <c r="F264" s="417"/>
      <c r="G264" s="417"/>
      <c r="H264" s="417"/>
      <c r="I264" s="417"/>
      <c r="J264" s="417"/>
      <c r="K264" s="417"/>
      <c r="L264" s="417"/>
      <c r="M264" s="417"/>
      <c r="N264" s="416"/>
      <c r="O264" s="417"/>
      <c r="P264" s="417"/>
      <c r="Q264" s="415">
        <f t="shared" si="8"/>
        <v>0</v>
      </c>
    </row>
    <row r="265" spans="1:17" ht="21.75" x14ac:dyDescent="0.5">
      <c r="A265" s="413">
        <v>239</v>
      </c>
      <c r="B265" s="413"/>
      <c r="C265" s="416" t="s">
        <v>706</v>
      </c>
      <c r="D265" s="417"/>
      <c r="E265" s="417"/>
      <c r="F265" s="417"/>
      <c r="G265" s="417"/>
      <c r="H265" s="417"/>
      <c r="I265" s="417"/>
      <c r="J265" s="417"/>
      <c r="K265" s="417"/>
      <c r="L265" s="417"/>
      <c r="M265" s="417"/>
      <c r="N265" s="414"/>
      <c r="O265" s="417"/>
      <c r="P265" s="417"/>
      <c r="Q265" s="415">
        <f t="shared" si="8"/>
        <v>0</v>
      </c>
    </row>
    <row r="266" spans="1:17" ht="21.75" x14ac:dyDescent="0.5">
      <c r="A266" s="413">
        <v>240</v>
      </c>
      <c r="B266" s="413"/>
      <c r="C266" s="416" t="s">
        <v>712</v>
      </c>
      <c r="D266" s="417"/>
      <c r="E266" s="417"/>
      <c r="F266" s="417"/>
      <c r="G266" s="417"/>
      <c r="H266" s="417"/>
      <c r="I266" s="417"/>
      <c r="J266" s="417"/>
      <c r="K266" s="417"/>
      <c r="L266" s="417"/>
      <c r="M266" s="417"/>
      <c r="N266" s="416"/>
      <c r="O266" s="417"/>
      <c r="P266" s="417"/>
      <c r="Q266" s="415">
        <f t="shared" si="8"/>
        <v>0</v>
      </c>
    </row>
    <row r="267" spans="1:17" ht="21.75" x14ac:dyDescent="0.5">
      <c r="A267" s="413">
        <v>241</v>
      </c>
      <c r="B267" s="413" t="s">
        <v>28</v>
      </c>
      <c r="C267" s="416" t="s">
        <v>718</v>
      </c>
      <c r="D267" s="417"/>
      <c r="E267" s="417"/>
      <c r="F267" s="417"/>
      <c r="G267" s="417"/>
      <c r="H267" s="417"/>
      <c r="I267" s="417"/>
      <c r="J267" s="417"/>
      <c r="K267" s="417"/>
      <c r="L267" s="417"/>
      <c r="M267" s="417"/>
      <c r="N267" s="414"/>
      <c r="O267" s="417"/>
      <c r="P267" s="417"/>
      <c r="Q267" s="415">
        <f t="shared" si="8"/>
        <v>0</v>
      </c>
    </row>
    <row r="268" spans="1:17" ht="21.75" x14ac:dyDescent="0.5">
      <c r="A268" s="413">
        <v>242</v>
      </c>
      <c r="B268" s="413" t="s">
        <v>28</v>
      </c>
      <c r="C268" s="416" t="s">
        <v>2102</v>
      </c>
      <c r="D268" s="417"/>
      <c r="E268" s="417"/>
      <c r="F268" s="417"/>
      <c r="G268" s="417"/>
      <c r="H268" s="417"/>
      <c r="I268" s="417"/>
      <c r="J268" s="417"/>
      <c r="K268" s="417"/>
      <c r="L268" s="417"/>
      <c r="M268" s="417"/>
      <c r="N268" s="416"/>
      <c r="O268" s="417"/>
      <c r="P268" s="417"/>
      <c r="Q268" s="415">
        <f t="shared" si="8"/>
        <v>0</v>
      </c>
    </row>
    <row r="269" spans="1:17" ht="21.75" x14ac:dyDescent="0.5">
      <c r="A269" s="413">
        <v>243</v>
      </c>
      <c r="B269" s="413"/>
      <c r="C269" s="416" t="s">
        <v>2686</v>
      </c>
      <c r="D269" s="417"/>
      <c r="E269" s="417"/>
      <c r="F269" s="417"/>
      <c r="G269" s="417"/>
      <c r="H269" s="417"/>
      <c r="I269" s="417"/>
      <c r="J269" s="417"/>
      <c r="K269" s="417"/>
      <c r="L269" s="417"/>
      <c r="M269" s="417"/>
      <c r="N269" s="416"/>
      <c r="O269" s="417"/>
      <c r="P269" s="417"/>
      <c r="Q269" s="415">
        <f t="shared" si="8"/>
        <v>0</v>
      </c>
    </row>
    <row r="270" spans="1:17" ht="21.75" x14ac:dyDescent="0.5">
      <c r="A270" s="413">
        <v>244</v>
      </c>
      <c r="B270" s="413" t="s">
        <v>28</v>
      </c>
      <c r="C270" s="416" t="s">
        <v>740</v>
      </c>
      <c r="D270" s="417"/>
      <c r="E270" s="417"/>
      <c r="F270" s="417"/>
      <c r="G270" s="417"/>
      <c r="H270" s="417"/>
      <c r="I270" s="417"/>
      <c r="J270" s="417"/>
      <c r="K270" s="417"/>
      <c r="L270" s="417"/>
      <c r="M270" s="417"/>
      <c r="N270" s="416"/>
      <c r="O270" s="417"/>
      <c r="P270" s="417"/>
      <c r="Q270" s="415">
        <f t="shared" si="8"/>
        <v>0</v>
      </c>
    </row>
    <row r="271" spans="1:17" ht="21.75" x14ac:dyDescent="0.5">
      <c r="A271" s="413">
        <v>245</v>
      </c>
      <c r="B271" s="413" t="s">
        <v>28</v>
      </c>
      <c r="C271" s="416" t="s">
        <v>749</v>
      </c>
      <c r="D271" s="417"/>
      <c r="E271" s="417"/>
      <c r="F271" s="417"/>
      <c r="G271" s="417"/>
      <c r="H271" s="417"/>
      <c r="I271" s="417"/>
      <c r="J271" s="417"/>
      <c r="K271" s="417"/>
      <c r="L271" s="417"/>
      <c r="M271" s="417"/>
      <c r="N271" s="414"/>
      <c r="O271" s="417"/>
      <c r="P271" s="417"/>
      <c r="Q271" s="415">
        <f t="shared" si="8"/>
        <v>0</v>
      </c>
    </row>
    <row r="272" spans="1:17" ht="21.75" x14ac:dyDescent="0.5">
      <c r="A272" s="413">
        <v>246</v>
      </c>
      <c r="B272" s="413" t="s">
        <v>28</v>
      </c>
      <c r="C272" s="416" t="s">
        <v>756</v>
      </c>
      <c r="D272" s="417"/>
      <c r="E272" s="417"/>
      <c r="F272" s="417"/>
      <c r="G272" s="417"/>
      <c r="H272" s="417"/>
      <c r="I272" s="417"/>
      <c r="J272" s="417"/>
      <c r="K272" s="417"/>
      <c r="L272" s="417"/>
      <c r="M272" s="417"/>
      <c r="N272" s="416"/>
      <c r="O272" s="417"/>
      <c r="P272" s="417"/>
      <c r="Q272" s="415">
        <f t="shared" si="8"/>
        <v>0</v>
      </c>
    </row>
    <row r="273" spans="1:17" ht="21.75" x14ac:dyDescent="0.5">
      <c r="A273" s="413"/>
      <c r="B273" s="413"/>
      <c r="C273" s="416" t="s">
        <v>237</v>
      </c>
      <c r="D273" s="417"/>
      <c r="E273" s="417"/>
      <c r="F273" s="417"/>
      <c r="G273" s="417"/>
      <c r="H273" s="417"/>
      <c r="I273" s="417"/>
      <c r="J273" s="417"/>
      <c r="K273" s="417"/>
      <c r="L273" s="417"/>
      <c r="M273" s="417"/>
      <c r="N273" s="414"/>
      <c r="O273" s="417"/>
      <c r="P273" s="417"/>
      <c r="Q273" s="415"/>
    </row>
    <row r="274" spans="1:17" ht="21.75" x14ac:dyDescent="0.5">
      <c r="A274" s="413">
        <v>247</v>
      </c>
      <c r="B274" s="413"/>
      <c r="C274" s="416" t="s">
        <v>2687</v>
      </c>
      <c r="D274" s="417"/>
      <c r="E274" s="417"/>
      <c r="F274" s="417"/>
      <c r="G274" s="417"/>
      <c r="H274" s="417"/>
      <c r="I274" s="417"/>
      <c r="J274" s="417"/>
      <c r="K274" s="417"/>
      <c r="L274" s="417"/>
      <c r="M274" s="417"/>
      <c r="N274" s="416"/>
      <c r="O274" s="417"/>
      <c r="P274" s="417"/>
      <c r="Q274" s="415">
        <f>SUM(D274:P274)</f>
        <v>0</v>
      </c>
    </row>
    <row r="275" spans="1:17" ht="21.75" x14ac:dyDescent="0.5">
      <c r="A275" s="413"/>
      <c r="B275" s="413"/>
      <c r="C275" s="416" t="s">
        <v>2688</v>
      </c>
      <c r="D275" s="417"/>
      <c r="E275" s="417"/>
      <c r="F275" s="417"/>
      <c r="G275" s="417"/>
      <c r="H275" s="417"/>
      <c r="I275" s="417"/>
      <c r="J275" s="417"/>
      <c r="K275" s="417"/>
      <c r="L275" s="417"/>
      <c r="M275" s="417"/>
      <c r="N275" s="414"/>
      <c r="O275" s="417"/>
      <c r="P275" s="417"/>
      <c r="Q275" s="415">
        <f>SUM(D275:P275)</f>
        <v>0</v>
      </c>
    </row>
    <row r="276" spans="1:17" ht="21.75" x14ac:dyDescent="0.5">
      <c r="A276" s="413">
        <v>248</v>
      </c>
      <c r="B276" s="413"/>
      <c r="C276" s="416" t="s">
        <v>2689</v>
      </c>
      <c r="D276" s="417"/>
      <c r="E276" s="417"/>
      <c r="F276" s="417"/>
      <c r="G276" s="417"/>
      <c r="H276" s="417"/>
      <c r="I276" s="417"/>
      <c r="J276" s="417"/>
      <c r="K276" s="417"/>
      <c r="L276" s="417"/>
      <c r="M276" s="417"/>
      <c r="N276" s="416"/>
      <c r="O276" s="417"/>
      <c r="P276" s="417"/>
      <c r="Q276" s="415"/>
    </row>
    <row r="277" spans="1:17" ht="21.75" x14ac:dyDescent="0.5">
      <c r="A277" s="413">
        <v>249</v>
      </c>
      <c r="B277" s="413"/>
      <c r="C277" s="416" t="s">
        <v>2690</v>
      </c>
      <c r="D277" s="417"/>
      <c r="E277" s="417"/>
      <c r="F277" s="417"/>
      <c r="G277" s="417"/>
      <c r="H277" s="417"/>
      <c r="I277" s="417"/>
      <c r="J277" s="417"/>
      <c r="K277" s="417"/>
      <c r="L277" s="417"/>
      <c r="M277" s="417"/>
      <c r="N277" s="414"/>
      <c r="O277" s="417"/>
      <c r="P277" s="417"/>
      <c r="Q277" s="415">
        <f t="shared" ref="Q277:Q321" si="9">SUM(D277:P277)</f>
        <v>0</v>
      </c>
    </row>
    <row r="278" spans="1:17" ht="21.75" x14ac:dyDescent="0.5">
      <c r="A278" s="413">
        <v>250</v>
      </c>
      <c r="B278" s="413"/>
      <c r="C278" s="416" t="s">
        <v>2691</v>
      </c>
      <c r="D278" s="417"/>
      <c r="E278" s="417"/>
      <c r="F278" s="417"/>
      <c r="G278" s="417"/>
      <c r="H278" s="417"/>
      <c r="I278" s="417"/>
      <c r="J278" s="417"/>
      <c r="K278" s="417"/>
      <c r="L278" s="417"/>
      <c r="M278" s="417"/>
      <c r="N278" s="414"/>
      <c r="O278" s="417"/>
      <c r="P278" s="417"/>
      <c r="Q278" s="415">
        <f t="shared" si="9"/>
        <v>0</v>
      </c>
    </row>
    <row r="279" spans="1:17" ht="21.75" x14ac:dyDescent="0.5">
      <c r="A279" s="413">
        <v>251</v>
      </c>
      <c r="B279" s="413"/>
      <c r="C279" s="414" t="s">
        <v>2692</v>
      </c>
      <c r="D279" s="417"/>
      <c r="E279" s="417"/>
      <c r="F279" s="417"/>
      <c r="G279" s="417"/>
      <c r="H279" s="417"/>
      <c r="I279" s="417"/>
      <c r="J279" s="417"/>
      <c r="K279" s="417"/>
      <c r="L279" s="417"/>
      <c r="M279" s="417"/>
      <c r="N279" s="414"/>
      <c r="O279" s="417"/>
      <c r="P279" s="417"/>
      <c r="Q279" s="415">
        <f t="shared" si="9"/>
        <v>0</v>
      </c>
    </row>
    <row r="280" spans="1:17" ht="21.75" x14ac:dyDescent="0.5">
      <c r="A280" s="413">
        <v>252</v>
      </c>
      <c r="B280" s="413"/>
      <c r="C280" s="414" t="s">
        <v>786</v>
      </c>
      <c r="D280" s="417"/>
      <c r="E280" s="417"/>
      <c r="F280" s="417"/>
      <c r="G280" s="417"/>
      <c r="H280" s="417"/>
      <c r="I280" s="417"/>
      <c r="J280" s="417"/>
      <c r="K280" s="417"/>
      <c r="L280" s="417"/>
      <c r="M280" s="417"/>
      <c r="N280" s="416"/>
      <c r="O280" s="417"/>
      <c r="P280" s="417"/>
      <c r="Q280" s="415">
        <f t="shared" si="9"/>
        <v>0</v>
      </c>
    </row>
    <row r="281" spans="1:17" ht="21.75" x14ac:dyDescent="0.5">
      <c r="A281" s="413">
        <v>253</v>
      </c>
      <c r="B281" s="413"/>
      <c r="C281" s="416" t="s">
        <v>2693</v>
      </c>
      <c r="D281" s="417"/>
      <c r="E281" s="417"/>
      <c r="F281" s="417"/>
      <c r="G281" s="417"/>
      <c r="H281" s="417"/>
      <c r="I281" s="417"/>
      <c r="J281" s="417"/>
      <c r="K281" s="417"/>
      <c r="L281" s="417"/>
      <c r="M281" s="417"/>
      <c r="N281" s="416"/>
      <c r="O281" s="417"/>
      <c r="P281" s="417"/>
      <c r="Q281" s="415">
        <f t="shared" si="9"/>
        <v>0</v>
      </c>
    </row>
    <row r="282" spans="1:17" ht="21.75" x14ac:dyDescent="0.5">
      <c r="A282" s="413">
        <v>254</v>
      </c>
      <c r="B282" s="413"/>
      <c r="C282" s="416" t="s">
        <v>2694</v>
      </c>
      <c r="D282" s="417"/>
      <c r="E282" s="417"/>
      <c r="F282" s="417"/>
      <c r="G282" s="417"/>
      <c r="H282" s="417"/>
      <c r="I282" s="417"/>
      <c r="J282" s="417"/>
      <c r="K282" s="417"/>
      <c r="L282" s="417"/>
      <c r="M282" s="417"/>
      <c r="N282" s="414"/>
      <c r="O282" s="417"/>
      <c r="P282" s="417"/>
      <c r="Q282" s="415">
        <f t="shared" si="9"/>
        <v>0</v>
      </c>
    </row>
    <row r="283" spans="1:17" ht="21.75" x14ac:dyDescent="0.5">
      <c r="A283" s="413">
        <v>255</v>
      </c>
      <c r="B283" s="413"/>
      <c r="C283" s="416" t="s">
        <v>2695</v>
      </c>
      <c r="D283" s="417"/>
      <c r="E283" s="417"/>
      <c r="F283" s="417"/>
      <c r="G283" s="417"/>
      <c r="H283" s="417"/>
      <c r="I283" s="417"/>
      <c r="J283" s="417"/>
      <c r="K283" s="417"/>
      <c r="L283" s="417"/>
      <c r="M283" s="417"/>
      <c r="N283" s="414"/>
      <c r="O283" s="417"/>
      <c r="P283" s="417"/>
      <c r="Q283" s="415">
        <f t="shared" si="9"/>
        <v>0</v>
      </c>
    </row>
    <row r="284" spans="1:17" ht="21.75" x14ac:dyDescent="0.5">
      <c r="A284" s="413">
        <v>256</v>
      </c>
      <c r="B284" s="413"/>
      <c r="C284" s="416" t="s">
        <v>2696</v>
      </c>
      <c r="D284" s="417"/>
      <c r="E284" s="417"/>
      <c r="F284" s="417"/>
      <c r="G284" s="417"/>
      <c r="H284" s="417"/>
      <c r="I284" s="417"/>
      <c r="J284" s="417"/>
      <c r="K284" s="417"/>
      <c r="L284" s="417"/>
      <c r="M284" s="417"/>
      <c r="N284" s="414"/>
      <c r="O284" s="417"/>
      <c r="P284" s="417"/>
      <c r="Q284" s="415">
        <f t="shared" si="9"/>
        <v>0</v>
      </c>
    </row>
    <row r="285" spans="1:17" ht="21.75" x14ac:dyDescent="0.5">
      <c r="A285" s="413">
        <v>257</v>
      </c>
      <c r="B285" s="413"/>
      <c r="C285" s="416" t="s">
        <v>2697</v>
      </c>
      <c r="D285" s="417"/>
      <c r="E285" s="417"/>
      <c r="F285" s="417"/>
      <c r="G285" s="417"/>
      <c r="H285" s="417"/>
      <c r="I285" s="417"/>
      <c r="J285" s="417"/>
      <c r="K285" s="417"/>
      <c r="L285" s="417"/>
      <c r="M285" s="417"/>
      <c r="N285" s="414"/>
      <c r="O285" s="417"/>
      <c r="P285" s="417"/>
      <c r="Q285" s="415">
        <f t="shared" si="9"/>
        <v>0</v>
      </c>
    </row>
    <row r="286" spans="1:17" ht="21.75" x14ac:dyDescent="0.5">
      <c r="A286" s="413">
        <v>258</v>
      </c>
      <c r="B286" s="413"/>
      <c r="C286" s="416" t="s">
        <v>2698</v>
      </c>
      <c r="D286" s="417"/>
      <c r="E286" s="417"/>
      <c r="F286" s="417"/>
      <c r="G286" s="417"/>
      <c r="H286" s="417"/>
      <c r="I286" s="417"/>
      <c r="J286" s="417"/>
      <c r="K286" s="417"/>
      <c r="L286" s="417"/>
      <c r="M286" s="417"/>
      <c r="N286" s="414"/>
      <c r="O286" s="417"/>
      <c r="P286" s="417"/>
      <c r="Q286" s="415">
        <f t="shared" si="9"/>
        <v>0</v>
      </c>
    </row>
    <row r="287" spans="1:17" ht="21.75" x14ac:dyDescent="0.5">
      <c r="A287" s="413"/>
      <c r="B287" s="413"/>
      <c r="C287" s="416" t="s">
        <v>2699</v>
      </c>
      <c r="D287" s="417"/>
      <c r="E287" s="417"/>
      <c r="F287" s="417"/>
      <c r="G287" s="417"/>
      <c r="H287" s="417"/>
      <c r="I287" s="417"/>
      <c r="J287" s="417"/>
      <c r="K287" s="417"/>
      <c r="L287" s="417"/>
      <c r="M287" s="417"/>
      <c r="N287" s="414"/>
      <c r="O287" s="417"/>
      <c r="P287" s="417"/>
      <c r="Q287" s="415">
        <f t="shared" si="9"/>
        <v>0</v>
      </c>
    </row>
    <row r="288" spans="1:17" ht="21.75" x14ac:dyDescent="0.5">
      <c r="A288" s="413">
        <v>259</v>
      </c>
      <c r="B288" s="413" t="s">
        <v>28</v>
      </c>
      <c r="C288" s="416" t="s">
        <v>807</v>
      </c>
      <c r="D288" s="417"/>
      <c r="E288" s="417"/>
      <c r="F288" s="417"/>
      <c r="G288" s="417"/>
      <c r="H288" s="417"/>
      <c r="I288" s="417"/>
      <c r="J288" s="417"/>
      <c r="K288" s="417"/>
      <c r="L288" s="417"/>
      <c r="M288" s="417"/>
      <c r="N288" s="416"/>
      <c r="O288" s="417"/>
      <c r="P288" s="417"/>
      <c r="Q288" s="415">
        <f t="shared" si="9"/>
        <v>0</v>
      </c>
    </row>
    <row r="289" spans="1:17" ht="21.75" x14ac:dyDescent="0.5">
      <c r="A289" s="413">
        <v>260</v>
      </c>
      <c r="B289" s="413" t="s">
        <v>28</v>
      </c>
      <c r="C289" s="416" t="s">
        <v>872</v>
      </c>
      <c r="D289" s="417"/>
      <c r="E289" s="417"/>
      <c r="F289" s="417"/>
      <c r="G289" s="417"/>
      <c r="H289" s="417"/>
      <c r="I289" s="417"/>
      <c r="J289" s="417"/>
      <c r="K289" s="417"/>
      <c r="L289" s="417"/>
      <c r="M289" s="417"/>
      <c r="N289" s="416"/>
      <c r="O289" s="417"/>
      <c r="P289" s="417"/>
      <c r="Q289" s="415">
        <f t="shared" si="9"/>
        <v>0</v>
      </c>
    </row>
    <row r="290" spans="1:17" ht="21.75" x14ac:dyDescent="0.5">
      <c r="A290" s="413">
        <v>261</v>
      </c>
      <c r="B290" s="413" t="s">
        <v>28</v>
      </c>
      <c r="C290" s="416" t="s">
        <v>881</v>
      </c>
      <c r="D290" s="417"/>
      <c r="E290" s="417"/>
      <c r="F290" s="417"/>
      <c r="G290" s="417"/>
      <c r="H290" s="417"/>
      <c r="I290" s="417"/>
      <c r="J290" s="417"/>
      <c r="K290" s="417"/>
      <c r="L290" s="417"/>
      <c r="M290" s="417"/>
      <c r="N290" s="414"/>
      <c r="O290" s="417"/>
      <c r="P290" s="417"/>
      <c r="Q290" s="415">
        <f t="shared" si="9"/>
        <v>0</v>
      </c>
    </row>
    <row r="291" spans="1:17" ht="21.75" x14ac:dyDescent="0.5">
      <c r="A291" s="413"/>
      <c r="B291" s="413"/>
      <c r="C291" s="416" t="s">
        <v>2700</v>
      </c>
      <c r="D291" s="417"/>
      <c r="E291" s="417"/>
      <c r="F291" s="417"/>
      <c r="G291" s="417"/>
      <c r="H291" s="417"/>
      <c r="I291" s="417"/>
      <c r="J291" s="417"/>
      <c r="K291" s="417"/>
      <c r="L291" s="417"/>
      <c r="M291" s="417"/>
      <c r="N291" s="414"/>
      <c r="O291" s="417"/>
      <c r="P291" s="417"/>
      <c r="Q291" s="415">
        <f t="shared" si="9"/>
        <v>0</v>
      </c>
    </row>
    <row r="292" spans="1:17" ht="21.75" x14ac:dyDescent="0.5">
      <c r="A292" s="413">
        <v>262</v>
      </c>
      <c r="B292" s="413"/>
      <c r="C292" s="414" t="s">
        <v>2701</v>
      </c>
      <c r="D292" s="417"/>
      <c r="E292" s="417"/>
      <c r="F292" s="417"/>
      <c r="G292" s="417"/>
      <c r="H292" s="417"/>
      <c r="I292" s="417"/>
      <c r="J292" s="417"/>
      <c r="K292" s="417"/>
      <c r="L292" s="417"/>
      <c r="M292" s="417"/>
      <c r="N292" s="414"/>
      <c r="O292" s="417"/>
      <c r="P292" s="417"/>
      <c r="Q292" s="415">
        <f t="shared" si="9"/>
        <v>0</v>
      </c>
    </row>
    <row r="293" spans="1:17" ht="21.75" x14ac:dyDescent="0.5">
      <c r="A293" s="413">
        <v>263</v>
      </c>
      <c r="B293" s="413" t="s">
        <v>28</v>
      </c>
      <c r="C293" s="416" t="s">
        <v>1082</v>
      </c>
      <c r="D293" s="417"/>
      <c r="E293" s="417"/>
      <c r="F293" s="417"/>
      <c r="G293" s="417"/>
      <c r="H293" s="417"/>
      <c r="I293" s="417"/>
      <c r="J293" s="417"/>
      <c r="K293" s="417"/>
      <c r="L293" s="417"/>
      <c r="M293" s="417"/>
      <c r="N293" s="414"/>
      <c r="O293" s="417"/>
      <c r="P293" s="417"/>
      <c r="Q293" s="415">
        <f t="shared" si="9"/>
        <v>0</v>
      </c>
    </row>
    <row r="294" spans="1:17" ht="21.75" x14ac:dyDescent="0.5">
      <c r="A294" s="413">
        <v>264</v>
      </c>
      <c r="B294" s="413"/>
      <c r="C294" s="416" t="s">
        <v>2702</v>
      </c>
      <c r="D294" s="417"/>
      <c r="E294" s="417"/>
      <c r="F294" s="417"/>
      <c r="G294" s="417"/>
      <c r="H294" s="417"/>
      <c r="I294" s="417"/>
      <c r="J294" s="417"/>
      <c r="K294" s="417"/>
      <c r="L294" s="417"/>
      <c r="M294" s="417"/>
      <c r="N294" s="414"/>
      <c r="O294" s="417"/>
      <c r="P294" s="417"/>
      <c r="Q294" s="415">
        <f t="shared" si="9"/>
        <v>0</v>
      </c>
    </row>
    <row r="295" spans="1:17" ht="21.75" x14ac:dyDescent="0.5">
      <c r="A295" s="413">
        <v>265</v>
      </c>
      <c r="B295" s="413"/>
      <c r="C295" s="416" t="s">
        <v>2703</v>
      </c>
      <c r="D295" s="417"/>
      <c r="E295" s="417"/>
      <c r="F295" s="417"/>
      <c r="G295" s="417"/>
      <c r="H295" s="417"/>
      <c r="I295" s="417"/>
      <c r="J295" s="417"/>
      <c r="K295" s="417"/>
      <c r="L295" s="417"/>
      <c r="M295" s="417"/>
      <c r="N295" s="414"/>
      <c r="O295" s="417"/>
      <c r="P295" s="417"/>
      <c r="Q295" s="415">
        <f t="shared" si="9"/>
        <v>0</v>
      </c>
    </row>
    <row r="296" spans="1:17" ht="21.75" x14ac:dyDescent="0.5">
      <c r="A296" s="413">
        <v>266</v>
      </c>
      <c r="B296" s="413" t="s">
        <v>28</v>
      </c>
      <c r="C296" s="416" t="s">
        <v>2704</v>
      </c>
      <c r="D296" s="417"/>
      <c r="E296" s="417"/>
      <c r="F296" s="417"/>
      <c r="G296" s="417"/>
      <c r="H296" s="417"/>
      <c r="I296" s="417"/>
      <c r="J296" s="417"/>
      <c r="K296" s="417"/>
      <c r="L296" s="417"/>
      <c r="M296" s="417"/>
      <c r="N296" s="416"/>
      <c r="O296" s="417"/>
      <c r="P296" s="417"/>
      <c r="Q296" s="415">
        <f t="shared" si="9"/>
        <v>0</v>
      </c>
    </row>
    <row r="297" spans="1:17" ht="21.75" x14ac:dyDescent="0.5">
      <c r="A297" s="413">
        <v>267</v>
      </c>
      <c r="B297" s="413" t="s">
        <v>28</v>
      </c>
      <c r="C297" s="416" t="s">
        <v>1172</v>
      </c>
      <c r="D297" s="417"/>
      <c r="E297" s="417"/>
      <c r="F297" s="417"/>
      <c r="G297" s="417"/>
      <c r="H297" s="417"/>
      <c r="I297" s="417"/>
      <c r="J297" s="417"/>
      <c r="K297" s="417"/>
      <c r="L297" s="417"/>
      <c r="M297" s="417"/>
      <c r="N297" s="416"/>
      <c r="O297" s="417"/>
      <c r="P297" s="417"/>
      <c r="Q297" s="415">
        <f t="shared" si="9"/>
        <v>0</v>
      </c>
    </row>
    <row r="298" spans="1:17" ht="21.75" x14ac:dyDescent="0.5">
      <c r="A298" s="413">
        <v>268</v>
      </c>
      <c r="B298" s="413" t="s">
        <v>28</v>
      </c>
      <c r="C298" s="416" t="s">
        <v>1174</v>
      </c>
      <c r="D298" s="417"/>
      <c r="E298" s="417"/>
      <c r="F298" s="417"/>
      <c r="G298" s="417"/>
      <c r="H298" s="417"/>
      <c r="I298" s="417"/>
      <c r="J298" s="417"/>
      <c r="K298" s="417"/>
      <c r="L298" s="417"/>
      <c r="M298" s="417"/>
      <c r="N298" s="414"/>
      <c r="O298" s="417"/>
      <c r="P298" s="417"/>
      <c r="Q298" s="415">
        <f t="shared" si="9"/>
        <v>0</v>
      </c>
    </row>
    <row r="299" spans="1:17" ht="21.75" x14ac:dyDescent="0.5">
      <c r="A299" s="413"/>
      <c r="B299" s="413"/>
      <c r="C299" s="416" t="s">
        <v>1188</v>
      </c>
      <c r="D299" s="417"/>
      <c r="E299" s="417"/>
      <c r="F299" s="417"/>
      <c r="G299" s="417"/>
      <c r="H299" s="417"/>
      <c r="I299" s="417"/>
      <c r="J299" s="417"/>
      <c r="K299" s="417"/>
      <c r="L299" s="417"/>
      <c r="M299" s="417"/>
      <c r="N299" s="416"/>
      <c r="O299" s="417"/>
      <c r="P299" s="417"/>
      <c r="Q299" s="415">
        <f t="shared" si="9"/>
        <v>0</v>
      </c>
    </row>
    <row r="300" spans="1:17" ht="21.75" x14ac:dyDescent="0.5">
      <c r="A300" s="413">
        <v>269</v>
      </c>
      <c r="B300" s="413" t="s">
        <v>28</v>
      </c>
      <c r="C300" s="416" t="s">
        <v>1198</v>
      </c>
      <c r="D300" s="417"/>
      <c r="E300" s="417"/>
      <c r="F300" s="417"/>
      <c r="G300" s="417"/>
      <c r="H300" s="417"/>
      <c r="I300" s="417"/>
      <c r="J300" s="417"/>
      <c r="K300" s="417"/>
      <c r="L300" s="417"/>
      <c r="M300" s="417"/>
      <c r="N300" s="416"/>
      <c r="O300" s="417"/>
      <c r="P300" s="417"/>
      <c r="Q300" s="415">
        <f t="shared" si="9"/>
        <v>0</v>
      </c>
    </row>
    <row r="301" spans="1:17" ht="21.75" x14ac:dyDescent="0.5">
      <c r="A301" s="413">
        <v>270</v>
      </c>
      <c r="B301" s="413" t="s">
        <v>28</v>
      </c>
      <c r="C301" s="416" t="s">
        <v>1214</v>
      </c>
      <c r="D301" s="417"/>
      <c r="E301" s="417"/>
      <c r="F301" s="417"/>
      <c r="G301" s="417"/>
      <c r="H301" s="417"/>
      <c r="I301" s="417"/>
      <c r="J301" s="417"/>
      <c r="K301" s="417"/>
      <c r="L301" s="417"/>
      <c r="M301" s="417"/>
      <c r="N301" s="414"/>
      <c r="O301" s="417"/>
      <c r="P301" s="417"/>
      <c r="Q301" s="415">
        <f t="shared" si="9"/>
        <v>0</v>
      </c>
    </row>
    <row r="302" spans="1:17" ht="21.75" x14ac:dyDescent="0.5">
      <c r="A302" s="413">
        <v>271</v>
      </c>
      <c r="B302" s="413"/>
      <c r="C302" s="416" t="s">
        <v>804</v>
      </c>
      <c r="D302" s="417"/>
      <c r="E302" s="417"/>
      <c r="F302" s="417"/>
      <c r="G302" s="417"/>
      <c r="H302" s="417"/>
      <c r="I302" s="417"/>
      <c r="J302" s="417"/>
      <c r="K302" s="417"/>
      <c r="L302" s="417"/>
      <c r="M302" s="417"/>
      <c r="N302" s="414"/>
      <c r="O302" s="417"/>
      <c r="P302" s="417"/>
      <c r="Q302" s="415">
        <f t="shared" si="9"/>
        <v>0</v>
      </c>
    </row>
    <row r="303" spans="1:17" ht="21.75" x14ac:dyDescent="0.5">
      <c r="A303" s="413">
        <v>272</v>
      </c>
      <c r="B303" s="413" t="s">
        <v>28</v>
      </c>
      <c r="C303" s="416" t="s">
        <v>1338</v>
      </c>
      <c r="D303" s="417"/>
      <c r="E303" s="417"/>
      <c r="F303" s="417"/>
      <c r="G303" s="417"/>
      <c r="H303" s="417"/>
      <c r="I303" s="417"/>
      <c r="J303" s="417"/>
      <c r="K303" s="417"/>
      <c r="L303" s="417"/>
      <c r="M303" s="417"/>
      <c r="N303" s="414"/>
      <c r="O303" s="417"/>
      <c r="P303" s="417"/>
      <c r="Q303" s="415">
        <f t="shared" si="9"/>
        <v>0</v>
      </c>
    </row>
    <row r="304" spans="1:17" ht="21.75" x14ac:dyDescent="0.5">
      <c r="A304" s="413"/>
      <c r="B304" s="413"/>
      <c r="C304" s="416" t="s">
        <v>1363</v>
      </c>
      <c r="D304" s="417"/>
      <c r="E304" s="417"/>
      <c r="F304" s="417"/>
      <c r="G304" s="417"/>
      <c r="H304" s="417"/>
      <c r="I304" s="417"/>
      <c r="J304" s="417"/>
      <c r="K304" s="417"/>
      <c r="L304" s="417"/>
      <c r="M304" s="417"/>
      <c r="N304" s="414"/>
      <c r="O304" s="417"/>
      <c r="P304" s="417"/>
      <c r="Q304" s="415">
        <f t="shared" si="9"/>
        <v>0</v>
      </c>
    </row>
    <row r="305" spans="1:17" ht="21.75" x14ac:dyDescent="0.5">
      <c r="A305" s="413"/>
      <c r="B305" s="413"/>
      <c r="C305" s="416" t="s">
        <v>1472</v>
      </c>
      <c r="D305" s="417"/>
      <c r="E305" s="417"/>
      <c r="F305" s="417"/>
      <c r="G305" s="417"/>
      <c r="H305" s="417"/>
      <c r="I305" s="417"/>
      <c r="J305" s="417"/>
      <c r="K305" s="417"/>
      <c r="L305" s="417"/>
      <c r="M305" s="417"/>
      <c r="N305" s="414"/>
      <c r="O305" s="417"/>
      <c r="P305" s="417"/>
      <c r="Q305" s="415">
        <f t="shared" si="9"/>
        <v>0</v>
      </c>
    </row>
    <row r="306" spans="1:17" ht="21.75" x14ac:dyDescent="0.5">
      <c r="A306" s="413">
        <v>273</v>
      </c>
      <c r="B306" s="413"/>
      <c r="C306" s="416" t="s">
        <v>1488</v>
      </c>
      <c r="D306" s="417"/>
      <c r="E306" s="417"/>
      <c r="F306" s="417"/>
      <c r="G306" s="417"/>
      <c r="H306" s="417"/>
      <c r="I306" s="417"/>
      <c r="J306" s="417"/>
      <c r="K306" s="417"/>
      <c r="L306" s="417"/>
      <c r="M306" s="417"/>
      <c r="N306" s="414"/>
      <c r="O306" s="417"/>
      <c r="P306" s="417"/>
      <c r="Q306" s="415">
        <f t="shared" si="9"/>
        <v>0</v>
      </c>
    </row>
    <row r="307" spans="1:17" ht="21.75" x14ac:dyDescent="0.5">
      <c r="A307" s="413">
        <v>274</v>
      </c>
      <c r="B307" s="413"/>
      <c r="C307" s="416" t="s">
        <v>2705</v>
      </c>
      <c r="D307" s="417"/>
      <c r="E307" s="417"/>
      <c r="F307" s="417"/>
      <c r="G307" s="417"/>
      <c r="H307" s="417"/>
      <c r="I307" s="417"/>
      <c r="J307" s="417"/>
      <c r="K307" s="417"/>
      <c r="L307" s="417"/>
      <c r="M307" s="417"/>
      <c r="N307" s="414"/>
      <c r="O307" s="417"/>
      <c r="P307" s="417"/>
      <c r="Q307" s="415">
        <f t="shared" si="9"/>
        <v>0</v>
      </c>
    </row>
    <row r="308" spans="1:17" ht="21.75" x14ac:dyDescent="0.5">
      <c r="A308" s="413">
        <v>275</v>
      </c>
      <c r="B308" s="413" t="s">
        <v>28</v>
      </c>
      <c r="C308" s="416" t="s">
        <v>1514</v>
      </c>
      <c r="D308" s="417"/>
      <c r="E308" s="417"/>
      <c r="F308" s="417"/>
      <c r="G308" s="417"/>
      <c r="H308" s="417"/>
      <c r="I308" s="417"/>
      <c r="J308" s="417"/>
      <c r="K308" s="417"/>
      <c r="L308" s="417"/>
      <c r="M308" s="417"/>
      <c r="N308" s="416"/>
      <c r="O308" s="417"/>
      <c r="P308" s="417"/>
      <c r="Q308" s="415">
        <f t="shared" si="9"/>
        <v>0</v>
      </c>
    </row>
    <row r="309" spans="1:17" ht="21.75" x14ac:dyDescent="0.5">
      <c r="A309" s="413">
        <v>276</v>
      </c>
      <c r="B309" s="413"/>
      <c r="C309" s="416" t="s">
        <v>2706</v>
      </c>
      <c r="D309" s="417"/>
      <c r="E309" s="417"/>
      <c r="F309" s="417"/>
      <c r="G309" s="417"/>
      <c r="H309" s="417"/>
      <c r="I309" s="417"/>
      <c r="J309" s="417"/>
      <c r="K309" s="417"/>
      <c r="L309" s="417"/>
      <c r="M309" s="417"/>
      <c r="N309" s="416"/>
      <c r="O309" s="417"/>
      <c r="P309" s="417"/>
      <c r="Q309" s="415">
        <f t="shared" si="9"/>
        <v>0</v>
      </c>
    </row>
    <row r="310" spans="1:17" ht="21.75" x14ac:dyDescent="0.5">
      <c r="A310" s="413">
        <v>277</v>
      </c>
      <c r="B310" s="413" t="s">
        <v>28</v>
      </c>
      <c r="C310" s="416" t="s">
        <v>1556</v>
      </c>
      <c r="D310" s="417"/>
      <c r="E310" s="417"/>
      <c r="F310" s="417"/>
      <c r="G310" s="417"/>
      <c r="H310" s="417"/>
      <c r="I310" s="417"/>
      <c r="J310" s="417"/>
      <c r="K310" s="417"/>
      <c r="L310" s="417"/>
      <c r="M310" s="417"/>
      <c r="N310" s="414"/>
      <c r="O310" s="417"/>
      <c r="P310" s="417"/>
      <c r="Q310" s="415">
        <f t="shared" si="9"/>
        <v>0</v>
      </c>
    </row>
    <row r="311" spans="1:17" ht="21.75" x14ac:dyDescent="0.5">
      <c r="A311" s="413">
        <v>278</v>
      </c>
      <c r="B311" s="413" t="s">
        <v>28</v>
      </c>
      <c r="C311" s="416" t="s">
        <v>1568</v>
      </c>
      <c r="D311" s="417"/>
      <c r="E311" s="417"/>
      <c r="F311" s="417"/>
      <c r="G311" s="417"/>
      <c r="H311" s="417"/>
      <c r="I311" s="417"/>
      <c r="J311" s="417"/>
      <c r="K311" s="417"/>
      <c r="L311" s="417"/>
      <c r="M311" s="417"/>
      <c r="N311" s="416"/>
      <c r="O311" s="417"/>
      <c r="P311" s="417"/>
      <c r="Q311" s="415">
        <f t="shared" si="9"/>
        <v>0</v>
      </c>
    </row>
    <row r="312" spans="1:17" ht="21.75" x14ac:dyDescent="0.5">
      <c r="A312" s="413">
        <v>279</v>
      </c>
      <c r="B312" s="413" t="s">
        <v>28</v>
      </c>
      <c r="C312" s="416" t="s">
        <v>1577</v>
      </c>
      <c r="D312" s="417"/>
      <c r="E312" s="417"/>
      <c r="F312" s="417"/>
      <c r="G312" s="417"/>
      <c r="H312" s="417"/>
      <c r="I312" s="417"/>
      <c r="J312" s="417"/>
      <c r="K312" s="417"/>
      <c r="L312" s="417"/>
      <c r="M312" s="417"/>
      <c r="N312" s="414"/>
      <c r="O312" s="417"/>
      <c r="P312" s="417"/>
      <c r="Q312" s="415">
        <f t="shared" si="9"/>
        <v>0</v>
      </c>
    </row>
    <row r="313" spans="1:17" ht="21.75" x14ac:dyDescent="0.5">
      <c r="A313" s="413">
        <v>280</v>
      </c>
      <c r="B313" s="413" t="s">
        <v>28</v>
      </c>
      <c r="C313" s="416" t="s">
        <v>2100</v>
      </c>
      <c r="D313" s="417"/>
      <c r="E313" s="417"/>
      <c r="F313" s="417"/>
      <c r="G313" s="417"/>
      <c r="H313" s="417"/>
      <c r="I313" s="417"/>
      <c r="J313" s="417"/>
      <c r="K313" s="417"/>
      <c r="L313" s="417"/>
      <c r="M313" s="417"/>
      <c r="N313" s="414"/>
      <c r="O313" s="417"/>
      <c r="P313" s="417"/>
      <c r="Q313" s="415">
        <f t="shared" si="9"/>
        <v>0</v>
      </c>
    </row>
    <row r="314" spans="1:17" ht="21.75" x14ac:dyDescent="0.5">
      <c r="A314" s="413">
        <v>281</v>
      </c>
      <c r="B314" s="413" t="s">
        <v>28</v>
      </c>
      <c r="C314" s="416" t="s">
        <v>1583</v>
      </c>
      <c r="D314" s="417"/>
      <c r="E314" s="417"/>
      <c r="F314" s="417"/>
      <c r="G314" s="417"/>
      <c r="H314" s="417"/>
      <c r="I314" s="417"/>
      <c r="J314" s="417"/>
      <c r="K314" s="417"/>
      <c r="L314" s="417"/>
      <c r="M314" s="417"/>
      <c r="N314" s="416"/>
      <c r="O314" s="417"/>
      <c r="P314" s="417"/>
      <c r="Q314" s="415">
        <f t="shared" si="9"/>
        <v>0</v>
      </c>
    </row>
    <row r="315" spans="1:17" ht="21.75" x14ac:dyDescent="0.5">
      <c r="A315" s="413">
        <v>282</v>
      </c>
      <c r="B315" s="413" t="s">
        <v>28</v>
      </c>
      <c r="C315" s="416" t="s">
        <v>1588</v>
      </c>
      <c r="D315" s="417"/>
      <c r="E315" s="417"/>
      <c r="F315" s="417"/>
      <c r="G315" s="417"/>
      <c r="H315" s="417"/>
      <c r="I315" s="417"/>
      <c r="J315" s="417"/>
      <c r="K315" s="417"/>
      <c r="L315" s="417"/>
      <c r="M315" s="417"/>
      <c r="N315" s="416"/>
      <c r="O315" s="417"/>
      <c r="P315" s="417"/>
      <c r="Q315" s="415">
        <f t="shared" si="9"/>
        <v>0</v>
      </c>
    </row>
    <row r="316" spans="1:17" ht="21.75" x14ac:dyDescent="0.5">
      <c r="A316" s="413">
        <v>283</v>
      </c>
      <c r="B316" s="413" t="s">
        <v>28</v>
      </c>
      <c r="C316" s="416" t="s">
        <v>2707</v>
      </c>
      <c r="D316" s="417"/>
      <c r="E316" s="417"/>
      <c r="F316" s="417"/>
      <c r="G316" s="417"/>
      <c r="H316" s="417"/>
      <c r="I316" s="417"/>
      <c r="J316" s="417"/>
      <c r="K316" s="417"/>
      <c r="L316" s="417"/>
      <c r="M316" s="417"/>
      <c r="N316" s="414"/>
      <c r="O316" s="417"/>
      <c r="P316" s="417"/>
      <c r="Q316" s="415">
        <f t="shared" si="9"/>
        <v>0</v>
      </c>
    </row>
    <row r="317" spans="1:17" ht="21.75" x14ac:dyDescent="0.5">
      <c r="A317" s="413">
        <v>284</v>
      </c>
      <c r="B317" s="413" t="s">
        <v>251</v>
      </c>
      <c r="C317" s="416" t="s">
        <v>2120</v>
      </c>
      <c r="D317" s="417"/>
      <c r="E317" s="417"/>
      <c r="F317" s="417"/>
      <c r="G317" s="417"/>
      <c r="H317" s="417"/>
      <c r="I317" s="417"/>
      <c r="J317" s="417"/>
      <c r="K317" s="417"/>
      <c r="L317" s="417"/>
      <c r="M317" s="417"/>
      <c r="N317" s="416"/>
      <c r="O317" s="417"/>
      <c r="P317" s="417"/>
      <c r="Q317" s="415">
        <f t="shared" si="9"/>
        <v>0</v>
      </c>
    </row>
    <row r="318" spans="1:17" ht="21.75" x14ac:dyDescent="0.5">
      <c r="A318" s="413">
        <v>285</v>
      </c>
      <c r="B318" s="413"/>
      <c r="C318" s="416" t="s">
        <v>538</v>
      </c>
      <c r="D318" s="417"/>
      <c r="E318" s="417"/>
      <c r="F318" s="417"/>
      <c r="G318" s="417"/>
      <c r="H318" s="417"/>
      <c r="I318" s="417"/>
      <c r="J318" s="417"/>
      <c r="K318" s="417"/>
      <c r="L318" s="417"/>
      <c r="M318" s="417"/>
      <c r="N318" s="414"/>
      <c r="O318" s="417"/>
      <c r="P318" s="417"/>
      <c r="Q318" s="415">
        <f t="shared" si="9"/>
        <v>0</v>
      </c>
    </row>
    <row r="319" spans="1:17" ht="21.75" x14ac:dyDescent="0.5">
      <c r="A319" s="413">
        <v>286</v>
      </c>
      <c r="B319" s="413" t="s">
        <v>28</v>
      </c>
      <c r="C319" s="416" t="s">
        <v>2099</v>
      </c>
      <c r="D319" s="417"/>
      <c r="E319" s="417"/>
      <c r="F319" s="417"/>
      <c r="G319" s="417"/>
      <c r="H319" s="417"/>
      <c r="I319" s="417"/>
      <c r="J319" s="417"/>
      <c r="K319" s="417"/>
      <c r="L319" s="417"/>
      <c r="M319" s="417"/>
      <c r="N319" s="416"/>
      <c r="O319" s="417"/>
      <c r="P319" s="417"/>
      <c r="Q319" s="415">
        <f t="shared" si="9"/>
        <v>0</v>
      </c>
    </row>
    <row r="320" spans="1:17" ht="21.75" x14ac:dyDescent="0.5">
      <c r="A320" s="413">
        <v>287</v>
      </c>
      <c r="B320" s="413" t="s">
        <v>28</v>
      </c>
      <c r="C320" s="416" t="s">
        <v>1635</v>
      </c>
      <c r="D320" s="417"/>
      <c r="E320" s="417"/>
      <c r="F320" s="417"/>
      <c r="G320" s="417"/>
      <c r="H320" s="417"/>
      <c r="I320" s="417"/>
      <c r="J320" s="417"/>
      <c r="K320" s="417"/>
      <c r="L320" s="417"/>
      <c r="M320" s="417"/>
      <c r="N320" s="414"/>
      <c r="O320" s="417"/>
      <c r="P320" s="417"/>
      <c r="Q320" s="415">
        <f t="shared" si="9"/>
        <v>0</v>
      </c>
    </row>
    <row r="321" spans="1:17" ht="21.75" x14ac:dyDescent="0.5">
      <c r="A321" s="413">
        <v>288</v>
      </c>
      <c r="B321" s="413"/>
      <c r="C321" s="416" t="s">
        <v>2708</v>
      </c>
      <c r="D321" s="417"/>
      <c r="E321" s="417"/>
      <c r="F321" s="417"/>
      <c r="G321" s="417"/>
      <c r="H321" s="417"/>
      <c r="I321" s="417"/>
      <c r="J321" s="417"/>
      <c r="K321" s="417"/>
      <c r="L321" s="417"/>
      <c r="M321" s="417"/>
      <c r="N321" s="416"/>
      <c r="O321" s="417"/>
      <c r="P321" s="417"/>
      <c r="Q321" s="415">
        <f t="shared" si="9"/>
        <v>0</v>
      </c>
    </row>
    <row r="322" spans="1:17" ht="21.75" x14ac:dyDescent="0.5">
      <c r="A322" s="413">
        <v>289</v>
      </c>
      <c r="B322" s="413"/>
      <c r="C322" s="416" t="s">
        <v>1674</v>
      </c>
      <c r="D322" s="417"/>
      <c r="E322" s="417"/>
      <c r="F322" s="417"/>
      <c r="G322" s="417"/>
      <c r="H322" s="417"/>
      <c r="I322" s="417"/>
      <c r="J322" s="417"/>
      <c r="K322" s="417"/>
      <c r="L322" s="417"/>
      <c r="M322" s="417"/>
      <c r="N322" s="416"/>
      <c r="O322" s="417"/>
      <c r="P322" s="417"/>
      <c r="Q322" s="415"/>
    </row>
    <row r="323" spans="1:17" ht="21.75" x14ac:dyDescent="0.5">
      <c r="A323" s="413">
        <v>290</v>
      </c>
      <c r="B323" s="413"/>
      <c r="C323" s="416" t="s">
        <v>2204</v>
      </c>
      <c r="D323" s="417"/>
      <c r="E323" s="417"/>
      <c r="F323" s="417"/>
      <c r="G323" s="417"/>
      <c r="H323" s="417"/>
      <c r="I323" s="417"/>
      <c r="J323" s="417"/>
      <c r="K323" s="417"/>
      <c r="L323" s="417"/>
      <c r="M323" s="417"/>
      <c r="N323" s="416"/>
      <c r="O323" s="417"/>
      <c r="P323" s="417"/>
      <c r="Q323" s="415">
        <f t="shared" ref="Q323:Q328" si="10">SUM(D323:P323)</f>
        <v>0</v>
      </c>
    </row>
    <row r="324" spans="1:17" ht="21.75" x14ac:dyDescent="0.5">
      <c r="A324" s="413">
        <v>291</v>
      </c>
      <c r="B324" s="413"/>
      <c r="C324" s="416" t="s">
        <v>2709</v>
      </c>
      <c r="D324" s="417"/>
      <c r="E324" s="417"/>
      <c r="F324" s="417"/>
      <c r="G324" s="417"/>
      <c r="H324" s="417"/>
      <c r="I324" s="417"/>
      <c r="J324" s="417"/>
      <c r="K324" s="417"/>
      <c r="L324" s="417"/>
      <c r="M324" s="417"/>
      <c r="N324" s="414"/>
      <c r="O324" s="417"/>
      <c r="P324" s="417"/>
      <c r="Q324" s="415">
        <f t="shared" si="10"/>
        <v>0</v>
      </c>
    </row>
    <row r="325" spans="1:17" ht="21.75" x14ac:dyDescent="0.5">
      <c r="A325" s="413">
        <v>292</v>
      </c>
      <c r="B325" s="413"/>
      <c r="C325" s="416" t="s">
        <v>2710</v>
      </c>
      <c r="D325" s="417"/>
      <c r="E325" s="417"/>
      <c r="F325" s="417"/>
      <c r="G325" s="417"/>
      <c r="H325" s="417"/>
      <c r="I325" s="417"/>
      <c r="J325" s="417"/>
      <c r="K325" s="417"/>
      <c r="L325" s="417"/>
      <c r="M325" s="417"/>
      <c r="N325" s="416"/>
      <c r="O325" s="417"/>
      <c r="P325" s="417"/>
      <c r="Q325" s="415">
        <f t="shared" si="10"/>
        <v>0</v>
      </c>
    </row>
    <row r="326" spans="1:17" ht="21.75" x14ac:dyDescent="0.5">
      <c r="A326" s="413">
        <v>293</v>
      </c>
      <c r="B326" s="413"/>
      <c r="C326" s="416" t="s">
        <v>2711</v>
      </c>
      <c r="D326" s="417"/>
      <c r="E326" s="417"/>
      <c r="F326" s="417"/>
      <c r="G326" s="417"/>
      <c r="H326" s="417"/>
      <c r="I326" s="417"/>
      <c r="J326" s="417"/>
      <c r="K326" s="417"/>
      <c r="L326" s="417"/>
      <c r="M326" s="417"/>
      <c r="N326" s="414"/>
      <c r="O326" s="417"/>
      <c r="P326" s="417"/>
      <c r="Q326" s="415">
        <f t="shared" si="10"/>
        <v>0</v>
      </c>
    </row>
    <row r="327" spans="1:17" ht="21.75" x14ac:dyDescent="0.5">
      <c r="A327" s="413"/>
      <c r="B327" s="413"/>
      <c r="C327" s="416" t="s">
        <v>2712</v>
      </c>
      <c r="D327" s="417"/>
      <c r="E327" s="417"/>
      <c r="F327" s="417"/>
      <c r="G327" s="417"/>
      <c r="H327" s="417"/>
      <c r="I327" s="417"/>
      <c r="J327" s="417"/>
      <c r="K327" s="417"/>
      <c r="L327" s="417"/>
      <c r="M327" s="417"/>
      <c r="N327" s="416"/>
      <c r="O327" s="417"/>
      <c r="P327" s="417"/>
      <c r="Q327" s="415">
        <f t="shared" si="10"/>
        <v>0</v>
      </c>
    </row>
    <row r="328" spans="1:17" ht="21.75" x14ac:dyDescent="0.5">
      <c r="A328" s="413">
        <v>294</v>
      </c>
      <c r="B328" s="413"/>
      <c r="C328" s="416" t="s">
        <v>2713</v>
      </c>
      <c r="D328" s="417"/>
      <c r="E328" s="417"/>
      <c r="F328" s="417"/>
      <c r="G328" s="417"/>
      <c r="H328" s="417"/>
      <c r="I328" s="417"/>
      <c r="J328" s="417"/>
      <c r="K328" s="417"/>
      <c r="L328" s="417"/>
      <c r="M328" s="417"/>
      <c r="N328" s="416"/>
      <c r="O328" s="417"/>
      <c r="P328" s="417"/>
      <c r="Q328" s="415">
        <f t="shared" si="10"/>
        <v>0</v>
      </c>
    </row>
    <row r="329" spans="1:17" ht="21.75" x14ac:dyDescent="0.5">
      <c r="A329" s="413">
        <v>295</v>
      </c>
      <c r="B329" s="413"/>
      <c r="C329" s="416" t="s">
        <v>2714</v>
      </c>
      <c r="D329" s="417"/>
      <c r="E329" s="417"/>
      <c r="F329" s="417"/>
      <c r="G329" s="417"/>
      <c r="H329" s="417"/>
      <c r="I329" s="417"/>
      <c r="J329" s="417"/>
      <c r="K329" s="417"/>
      <c r="L329" s="417"/>
      <c r="M329" s="417"/>
      <c r="N329" s="414"/>
      <c r="O329" s="417"/>
      <c r="P329" s="417"/>
      <c r="Q329" s="415"/>
    </row>
    <row r="330" spans="1:17" ht="21.75" x14ac:dyDescent="0.5">
      <c r="A330" s="413">
        <v>296</v>
      </c>
      <c r="B330" s="413" t="s">
        <v>28</v>
      </c>
      <c r="C330" s="416" t="s">
        <v>1686</v>
      </c>
      <c r="D330" s="417"/>
      <c r="E330" s="417"/>
      <c r="F330" s="417"/>
      <c r="G330" s="417"/>
      <c r="H330" s="417"/>
      <c r="I330" s="417"/>
      <c r="J330" s="417"/>
      <c r="K330" s="417"/>
      <c r="L330" s="417"/>
      <c r="M330" s="417"/>
      <c r="N330" s="414"/>
      <c r="O330" s="417"/>
      <c r="P330" s="417"/>
      <c r="Q330" s="415">
        <f t="shared" ref="Q330:Q338" si="11">SUM(D330:P330)</f>
        <v>0</v>
      </c>
    </row>
    <row r="331" spans="1:17" ht="21.75" x14ac:dyDescent="0.5">
      <c r="A331" s="413">
        <v>297</v>
      </c>
      <c r="B331" s="413" t="s">
        <v>28</v>
      </c>
      <c r="C331" s="416" t="s">
        <v>1690</v>
      </c>
      <c r="D331" s="417"/>
      <c r="E331" s="417"/>
      <c r="F331" s="417"/>
      <c r="G331" s="417"/>
      <c r="H331" s="417"/>
      <c r="I331" s="417"/>
      <c r="J331" s="417"/>
      <c r="K331" s="417"/>
      <c r="L331" s="417"/>
      <c r="M331" s="417"/>
      <c r="N331" s="416"/>
      <c r="O331" s="417"/>
      <c r="P331" s="417"/>
      <c r="Q331" s="415">
        <f t="shared" si="11"/>
        <v>0</v>
      </c>
    </row>
    <row r="332" spans="1:17" ht="21.75" x14ac:dyDescent="0.5">
      <c r="A332" s="413">
        <v>298</v>
      </c>
      <c r="B332" s="413"/>
      <c r="C332" s="416" t="s">
        <v>2715</v>
      </c>
      <c r="D332" s="417"/>
      <c r="E332" s="417"/>
      <c r="F332" s="417"/>
      <c r="G332" s="417"/>
      <c r="H332" s="417"/>
      <c r="I332" s="417"/>
      <c r="J332" s="417"/>
      <c r="K332" s="417"/>
      <c r="L332" s="417"/>
      <c r="M332" s="417"/>
      <c r="N332" s="416"/>
      <c r="O332" s="417"/>
      <c r="P332" s="417"/>
      <c r="Q332" s="415">
        <f t="shared" si="11"/>
        <v>0</v>
      </c>
    </row>
    <row r="333" spans="1:17" ht="21.75" x14ac:dyDescent="0.5">
      <c r="A333" s="413">
        <v>299</v>
      </c>
      <c r="B333" s="413" t="s">
        <v>28</v>
      </c>
      <c r="C333" s="416" t="s">
        <v>2098</v>
      </c>
      <c r="D333" s="417"/>
      <c r="E333" s="417"/>
      <c r="F333" s="417"/>
      <c r="G333" s="417"/>
      <c r="H333" s="417"/>
      <c r="I333" s="417"/>
      <c r="J333" s="417"/>
      <c r="K333" s="417"/>
      <c r="L333" s="417"/>
      <c r="M333" s="417"/>
      <c r="N333" s="414"/>
      <c r="O333" s="417"/>
      <c r="P333" s="417"/>
      <c r="Q333" s="415">
        <f t="shared" si="11"/>
        <v>0</v>
      </c>
    </row>
    <row r="334" spans="1:17" ht="21.75" x14ac:dyDescent="0.5">
      <c r="A334" s="413">
        <v>300</v>
      </c>
      <c r="B334" s="413" t="s">
        <v>28</v>
      </c>
      <c r="C334" s="416" t="s">
        <v>1708</v>
      </c>
      <c r="D334" s="417"/>
      <c r="E334" s="417"/>
      <c r="F334" s="417"/>
      <c r="G334" s="417"/>
      <c r="H334" s="417"/>
      <c r="I334" s="417"/>
      <c r="J334" s="417"/>
      <c r="K334" s="417"/>
      <c r="L334" s="417"/>
      <c r="M334" s="417"/>
      <c r="N334" s="414"/>
      <c r="O334" s="417"/>
      <c r="P334" s="417"/>
      <c r="Q334" s="415">
        <f t="shared" si="11"/>
        <v>0</v>
      </c>
    </row>
    <row r="335" spans="1:17" ht="21.75" x14ac:dyDescent="0.5">
      <c r="A335" s="413">
        <v>301</v>
      </c>
      <c r="B335" s="413"/>
      <c r="C335" s="416" t="s">
        <v>2716</v>
      </c>
      <c r="D335" s="417"/>
      <c r="E335" s="417"/>
      <c r="F335" s="417"/>
      <c r="G335" s="417"/>
      <c r="H335" s="417"/>
      <c r="I335" s="417"/>
      <c r="J335" s="417"/>
      <c r="K335" s="417"/>
      <c r="L335" s="417"/>
      <c r="M335" s="417"/>
      <c r="N335" s="416"/>
      <c r="O335" s="417"/>
      <c r="P335" s="417"/>
      <c r="Q335" s="415">
        <f t="shared" si="11"/>
        <v>0</v>
      </c>
    </row>
    <row r="336" spans="1:17" ht="21.75" x14ac:dyDescent="0.5">
      <c r="A336" s="413">
        <v>302</v>
      </c>
      <c r="B336" s="413"/>
      <c r="C336" s="416" t="s">
        <v>2717</v>
      </c>
      <c r="D336" s="417"/>
      <c r="E336" s="417"/>
      <c r="F336" s="417"/>
      <c r="G336" s="417"/>
      <c r="H336" s="417"/>
      <c r="I336" s="417"/>
      <c r="J336" s="417"/>
      <c r="K336" s="417"/>
      <c r="L336" s="417"/>
      <c r="M336" s="417"/>
      <c r="N336" s="414"/>
      <c r="O336" s="417"/>
      <c r="P336" s="417"/>
      <c r="Q336" s="415">
        <f t="shared" si="11"/>
        <v>0</v>
      </c>
    </row>
    <row r="337" spans="1:17" ht="21.75" x14ac:dyDescent="0.5">
      <c r="A337" s="413">
        <v>303</v>
      </c>
      <c r="B337" s="413"/>
      <c r="C337" s="416" t="s">
        <v>2215</v>
      </c>
      <c r="D337" s="417"/>
      <c r="E337" s="417"/>
      <c r="F337" s="417"/>
      <c r="G337" s="417"/>
      <c r="H337" s="417"/>
      <c r="I337" s="417"/>
      <c r="J337" s="417"/>
      <c r="K337" s="417"/>
      <c r="L337" s="417"/>
      <c r="M337" s="417"/>
      <c r="N337" s="414"/>
      <c r="O337" s="417"/>
      <c r="P337" s="417"/>
      <c r="Q337" s="415">
        <f t="shared" si="11"/>
        <v>0</v>
      </c>
    </row>
    <row r="338" spans="1:17" ht="21.75" x14ac:dyDescent="0.5">
      <c r="A338" s="413">
        <v>304</v>
      </c>
      <c r="B338" s="413" t="s">
        <v>28</v>
      </c>
      <c r="C338" s="416" t="s">
        <v>1731</v>
      </c>
      <c r="D338" s="417"/>
      <c r="E338" s="417"/>
      <c r="F338" s="417"/>
      <c r="G338" s="417"/>
      <c r="H338" s="417"/>
      <c r="I338" s="417"/>
      <c r="J338" s="417"/>
      <c r="K338" s="417"/>
      <c r="L338" s="417"/>
      <c r="M338" s="417"/>
      <c r="N338" s="414"/>
      <c r="O338" s="417"/>
      <c r="P338" s="417"/>
      <c r="Q338" s="415">
        <f t="shared" si="11"/>
        <v>0</v>
      </c>
    </row>
    <row r="339" spans="1:17" ht="21.75" x14ac:dyDescent="0.5">
      <c r="A339" s="413"/>
      <c r="B339" s="413"/>
      <c r="C339" s="416" t="s">
        <v>1739</v>
      </c>
      <c r="D339" s="417"/>
      <c r="E339" s="417"/>
      <c r="F339" s="417"/>
      <c r="G339" s="417"/>
      <c r="H339" s="417"/>
      <c r="I339" s="417"/>
      <c r="J339" s="417"/>
      <c r="K339" s="417"/>
      <c r="L339" s="417"/>
      <c r="M339" s="417"/>
      <c r="N339" s="414"/>
      <c r="O339" s="417"/>
      <c r="P339" s="417"/>
      <c r="Q339" s="415"/>
    </row>
    <row r="340" spans="1:17" ht="21.75" x14ac:dyDescent="0.5">
      <c r="A340" s="413">
        <v>305</v>
      </c>
      <c r="B340" s="413" t="s">
        <v>28</v>
      </c>
      <c r="C340" s="416" t="s">
        <v>1741</v>
      </c>
      <c r="D340" s="417"/>
      <c r="E340" s="417"/>
      <c r="F340" s="417"/>
      <c r="G340" s="417"/>
      <c r="H340" s="417"/>
      <c r="I340" s="417"/>
      <c r="J340" s="417"/>
      <c r="K340" s="417"/>
      <c r="L340" s="417"/>
      <c r="M340" s="417"/>
      <c r="N340" s="414"/>
      <c r="O340" s="417"/>
      <c r="P340" s="417"/>
      <c r="Q340" s="415">
        <f t="shared" ref="Q340:Q358" si="12">SUM(D340:P340)</f>
        <v>0</v>
      </c>
    </row>
    <row r="341" spans="1:17" ht="21.75" x14ac:dyDescent="0.5">
      <c r="A341" s="413">
        <v>306</v>
      </c>
      <c r="B341" s="413" t="s">
        <v>28</v>
      </c>
      <c r="C341" s="416" t="s">
        <v>1744</v>
      </c>
      <c r="D341" s="417"/>
      <c r="E341" s="417"/>
      <c r="F341" s="417"/>
      <c r="G341" s="417"/>
      <c r="H341" s="417"/>
      <c r="I341" s="417"/>
      <c r="J341" s="417"/>
      <c r="K341" s="417"/>
      <c r="L341" s="417"/>
      <c r="M341" s="417"/>
      <c r="N341" s="414"/>
      <c r="O341" s="417"/>
      <c r="P341" s="417"/>
      <c r="Q341" s="415">
        <f t="shared" si="12"/>
        <v>0</v>
      </c>
    </row>
    <row r="342" spans="1:17" ht="21.75" x14ac:dyDescent="0.5">
      <c r="A342" s="413">
        <v>307</v>
      </c>
      <c r="B342" s="413" t="s">
        <v>28</v>
      </c>
      <c r="C342" s="416" t="s">
        <v>1756</v>
      </c>
      <c r="D342" s="417"/>
      <c r="E342" s="417"/>
      <c r="F342" s="417"/>
      <c r="G342" s="417"/>
      <c r="H342" s="417"/>
      <c r="I342" s="417"/>
      <c r="J342" s="417"/>
      <c r="K342" s="417"/>
      <c r="L342" s="417"/>
      <c r="M342" s="417"/>
      <c r="N342" s="416"/>
      <c r="O342" s="417"/>
      <c r="P342" s="417"/>
      <c r="Q342" s="415">
        <f t="shared" si="12"/>
        <v>0</v>
      </c>
    </row>
    <row r="343" spans="1:17" ht="21.75" x14ac:dyDescent="0.5">
      <c r="A343" s="413"/>
      <c r="B343" s="413"/>
      <c r="C343" s="416" t="s">
        <v>1771</v>
      </c>
      <c r="D343" s="417"/>
      <c r="E343" s="417"/>
      <c r="F343" s="417"/>
      <c r="G343" s="417"/>
      <c r="H343" s="417"/>
      <c r="I343" s="417"/>
      <c r="J343" s="417"/>
      <c r="K343" s="417"/>
      <c r="L343" s="417"/>
      <c r="M343" s="417"/>
      <c r="N343" s="416"/>
      <c r="O343" s="417"/>
      <c r="P343" s="417"/>
      <c r="Q343" s="415">
        <f t="shared" si="12"/>
        <v>0</v>
      </c>
    </row>
    <row r="344" spans="1:17" ht="21.75" x14ac:dyDescent="0.5">
      <c r="A344" s="413">
        <v>308</v>
      </c>
      <c r="B344" s="413" t="s">
        <v>28</v>
      </c>
      <c r="C344" s="416" t="s">
        <v>2097</v>
      </c>
      <c r="D344" s="417"/>
      <c r="E344" s="417"/>
      <c r="F344" s="417"/>
      <c r="G344" s="417"/>
      <c r="H344" s="417"/>
      <c r="I344" s="417"/>
      <c r="J344" s="417"/>
      <c r="K344" s="417"/>
      <c r="L344" s="417"/>
      <c r="M344" s="417"/>
      <c r="N344" s="416"/>
      <c r="O344" s="417"/>
      <c r="P344" s="417"/>
      <c r="Q344" s="415">
        <f t="shared" si="12"/>
        <v>0</v>
      </c>
    </row>
    <row r="345" spans="1:17" ht="21.75" x14ac:dyDescent="0.5">
      <c r="A345" s="413">
        <v>309</v>
      </c>
      <c r="B345" s="413" t="s">
        <v>28</v>
      </c>
      <c r="C345" s="416" t="s">
        <v>2096</v>
      </c>
      <c r="D345" s="417"/>
      <c r="E345" s="417"/>
      <c r="F345" s="417"/>
      <c r="G345" s="417"/>
      <c r="H345" s="417"/>
      <c r="I345" s="417"/>
      <c r="J345" s="417"/>
      <c r="K345" s="417"/>
      <c r="L345" s="417"/>
      <c r="M345" s="417"/>
      <c r="N345" s="416"/>
      <c r="O345" s="417"/>
      <c r="P345" s="417"/>
      <c r="Q345" s="415">
        <f t="shared" si="12"/>
        <v>0</v>
      </c>
    </row>
    <row r="346" spans="1:17" ht="21.75" x14ac:dyDescent="0.5">
      <c r="A346" s="413">
        <v>310</v>
      </c>
      <c r="B346" s="413" t="s">
        <v>28</v>
      </c>
      <c r="C346" s="416" t="s">
        <v>2095</v>
      </c>
      <c r="D346" s="417"/>
      <c r="E346" s="417"/>
      <c r="F346" s="417"/>
      <c r="G346" s="417"/>
      <c r="H346" s="417"/>
      <c r="I346" s="417"/>
      <c r="J346" s="417"/>
      <c r="K346" s="417"/>
      <c r="L346" s="417"/>
      <c r="M346" s="417"/>
      <c r="N346" s="414"/>
      <c r="O346" s="417"/>
      <c r="P346" s="417"/>
      <c r="Q346" s="415">
        <f t="shared" si="12"/>
        <v>0</v>
      </c>
    </row>
    <row r="347" spans="1:17" ht="21.75" x14ac:dyDescent="0.5">
      <c r="A347" s="413">
        <v>311</v>
      </c>
      <c r="B347" s="413" t="s">
        <v>28</v>
      </c>
      <c r="C347" s="416" t="s">
        <v>2718</v>
      </c>
      <c r="D347" s="417"/>
      <c r="E347" s="417"/>
      <c r="F347" s="417"/>
      <c r="G347" s="417"/>
      <c r="H347" s="417"/>
      <c r="I347" s="417"/>
      <c r="J347" s="417"/>
      <c r="K347" s="417"/>
      <c r="L347" s="417"/>
      <c r="M347" s="417"/>
      <c r="N347" s="414"/>
      <c r="O347" s="417"/>
      <c r="P347" s="417"/>
      <c r="Q347" s="415">
        <f t="shared" si="12"/>
        <v>0</v>
      </c>
    </row>
    <row r="348" spans="1:17" ht="21.75" x14ac:dyDescent="0.5">
      <c r="A348" s="413">
        <v>312</v>
      </c>
      <c r="B348" s="413" t="s">
        <v>28</v>
      </c>
      <c r="C348" s="416" t="s">
        <v>1795</v>
      </c>
      <c r="D348" s="417"/>
      <c r="E348" s="417"/>
      <c r="F348" s="417"/>
      <c r="G348" s="417"/>
      <c r="H348" s="417"/>
      <c r="I348" s="417"/>
      <c r="J348" s="417"/>
      <c r="K348" s="417"/>
      <c r="L348" s="417"/>
      <c r="M348" s="417"/>
      <c r="N348" s="414"/>
      <c r="O348" s="417"/>
      <c r="P348" s="417"/>
      <c r="Q348" s="415">
        <f t="shared" si="12"/>
        <v>0</v>
      </c>
    </row>
    <row r="349" spans="1:17" ht="21.75" x14ac:dyDescent="0.5">
      <c r="A349" s="413">
        <v>313</v>
      </c>
      <c r="B349" s="413" t="s">
        <v>28</v>
      </c>
      <c r="C349" s="416" t="s">
        <v>1806</v>
      </c>
      <c r="D349" s="417"/>
      <c r="E349" s="417"/>
      <c r="F349" s="417"/>
      <c r="G349" s="417"/>
      <c r="H349" s="417"/>
      <c r="I349" s="417"/>
      <c r="J349" s="417"/>
      <c r="K349" s="417"/>
      <c r="L349" s="417"/>
      <c r="M349" s="417"/>
      <c r="N349" s="414"/>
      <c r="O349" s="417"/>
      <c r="P349" s="417"/>
      <c r="Q349" s="415">
        <f t="shared" si="12"/>
        <v>0</v>
      </c>
    </row>
    <row r="350" spans="1:17" ht="21.75" x14ac:dyDescent="0.5">
      <c r="A350" s="413">
        <v>314</v>
      </c>
      <c r="B350" s="413" t="s">
        <v>28</v>
      </c>
      <c r="C350" s="416" t="s">
        <v>1822</v>
      </c>
      <c r="D350" s="417"/>
      <c r="E350" s="417"/>
      <c r="F350" s="417"/>
      <c r="G350" s="417"/>
      <c r="H350" s="417"/>
      <c r="I350" s="417"/>
      <c r="J350" s="417"/>
      <c r="K350" s="417"/>
      <c r="L350" s="417"/>
      <c r="M350" s="417"/>
      <c r="N350" s="414"/>
      <c r="O350" s="417"/>
      <c r="P350" s="417"/>
      <c r="Q350" s="415">
        <f t="shared" si="12"/>
        <v>0</v>
      </c>
    </row>
    <row r="351" spans="1:17" ht="21.75" x14ac:dyDescent="0.5">
      <c r="A351" s="413">
        <v>315</v>
      </c>
      <c r="B351" s="413" t="s">
        <v>28</v>
      </c>
      <c r="C351" s="416" t="s">
        <v>2719</v>
      </c>
      <c r="D351" s="417"/>
      <c r="E351" s="417"/>
      <c r="F351" s="417"/>
      <c r="G351" s="417"/>
      <c r="H351" s="417"/>
      <c r="I351" s="417"/>
      <c r="J351" s="417"/>
      <c r="K351" s="417"/>
      <c r="L351" s="417"/>
      <c r="M351" s="417"/>
      <c r="N351" s="414"/>
      <c r="O351" s="417"/>
      <c r="P351" s="417"/>
      <c r="Q351" s="415">
        <f t="shared" si="12"/>
        <v>0</v>
      </c>
    </row>
    <row r="352" spans="1:17" ht="21.75" x14ac:dyDescent="0.5">
      <c r="A352" s="413">
        <v>316</v>
      </c>
      <c r="B352" s="413" t="s">
        <v>28</v>
      </c>
      <c r="C352" s="416" t="s">
        <v>2720</v>
      </c>
      <c r="D352" s="417"/>
      <c r="E352" s="417"/>
      <c r="F352" s="417"/>
      <c r="G352" s="417"/>
      <c r="H352" s="417"/>
      <c r="I352" s="417"/>
      <c r="J352" s="417"/>
      <c r="K352" s="417"/>
      <c r="L352" s="417"/>
      <c r="M352" s="417"/>
      <c r="N352" s="414"/>
      <c r="O352" s="417"/>
      <c r="P352" s="417"/>
      <c r="Q352" s="415">
        <f t="shared" si="12"/>
        <v>0</v>
      </c>
    </row>
    <row r="353" spans="1:17" ht="21.75" x14ac:dyDescent="0.5">
      <c r="A353" s="413">
        <v>317</v>
      </c>
      <c r="B353" s="413"/>
      <c r="C353" s="416" t="s">
        <v>2721</v>
      </c>
      <c r="D353" s="417"/>
      <c r="E353" s="417"/>
      <c r="F353" s="417"/>
      <c r="G353" s="417"/>
      <c r="H353" s="417"/>
      <c r="I353" s="417"/>
      <c r="J353" s="417"/>
      <c r="K353" s="417"/>
      <c r="L353" s="417"/>
      <c r="M353" s="417"/>
      <c r="N353" s="414"/>
      <c r="O353" s="417"/>
      <c r="P353" s="417"/>
      <c r="Q353" s="415">
        <f t="shared" si="12"/>
        <v>0</v>
      </c>
    </row>
    <row r="354" spans="1:17" ht="21.75" x14ac:dyDescent="0.5">
      <c r="A354" s="413">
        <v>318</v>
      </c>
      <c r="B354" s="413"/>
      <c r="C354" s="416" t="s">
        <v>2722</v>
      </c>
      <c r="D354" s="417"/>
      <c r="E354" s="417"/>
      <c r="F354" s="417"/>
      <c r="G354" s="417"/>
      <c r="H354" s="417"/>
      <c r="I354" s="417"/>
      <c r="J354" s="417"/>
      <c r="K354" s="417"/>
      <c r="L354" s="417"/>
      <c r="M354" s="417"/>
      <c r="N354" s="414"/>
      <c r="O354" s="417"/>
      <c r="P354" s="417"/>
      <c r="Q354" s="415">
        <f t="shared" si="12"/>
        <v>0</v>
      </c>
    </row>
    <row r="355" spans="1:17" ht="21.75" x14ac:dyDescent="0.5">
      <c r="A355" s="413">
        <v>319</v>
      </c>
      <c r="B355" s="413"/>
      <c r="C355" s="416" t="s">
        <v>2723</v>
      </c>
      <c r="D355" s="417"/>
      <c r="E355" s="417"/>
      <c r="F355" s="417"/>
      <c r="G355" s="417"/>
      <c r="H355" s="417"/>
      <c r="I355" s="417"/>
      <c r="J355" s="417"/>
      <c r="K355" s="417"/>
      <c r="L355" s="417"/>
      <c r="M355" s="417"/>
      <c r="N355" s="414"/>
      <c r="O355" s="417"/>
      <c r="P355" s="417"/>
      <c r="Q355" s="415">
        <f t="shared" si="12"/>
        <v>0</v>
      </c>
    </row>
    <row r="356" spans="1:17" ht="21.75" x14ac:dyDescent="0.5">
      <c r="A356" s="413">
        <v>320</v>
      </c>
      <c r="B356" s="413"/>
      <c r="C356" s="416" t="s">
        <v>2724</v>
      </c>
      <c r="D356" s="417"/>
      <c r="E356" s="417"/>
      <c r="F356" s="417"/>
      <c r="G356" s="417"/>
      <c r="H356" s="417"/>
      <c r="I356" s="417"/>
      <c r="J356" s="417"/>
      <c r="K356" s="417"/>
      <c r="L356" s="417"/>
      <c r="M356" s="417"/>
      <c r="N356" s="414"/>
      <c r="O356" s="417"/>
      <c r="P356" s="417"/>
      <c r="Q356" s="415">
        <f t="shared" si="12"/>
        <v>0</v>
      </c>
    </row>
    <row r="357" spans="1:17" ht="21.75" x14ac:dyDescent="0.5">
      <c r="A357" s="413">
        <v>321</v>
      </c>
      <c r="B357" s="413"/>
      <c r="C357" s="416" t="s">
        <v>2119</v>
      </c>
      <c r="D357" s="417"/>
      <c r="E357" s="417"/>
      <c r="F357" s="417"/>
      <c r="G357" s="417"/>
      <c r="H357" s="417"/>
      <c r="I357" s="417"/>
      <c r="J357" s="417"/>
      <c r="K357" s="417"/>
      <c r="L357" s="417"/>
      <c r="M357" s="417"/>
      <c r="N357" s="414"/>
      <c r="O357" s="417"/>
      <c r="P357" s="417"/>
      <c r="Q357" s="415">
        <f t="shared" si="12"/>
        <v>0</v>
      </c>
    </row>
    <row r="358" spans="1:17" ht="21.75" x14ac:dyDescent="0.5">
      <c r="A358" s="413">
        <v>322</v>
      </c>
      <c r="B358" s="413" t="s">
        <v>28</v>
      </c>
      <c r="C358" s="416" t="s">
        <v>1848</v>
      </c>
      <c r="D358" s="417"/>
      <c r="E358" s="417"/>
      <c r="F358" s="417"/>
      <c r="G358" s="417"/>
      <c r="H358" s="417"/>
      <c r="I358" s="417"/>
      <c r="J358" s="417"/>
      <c r="K358" s="417"/>
      <c r="L358" s="417"/>
      <c r="M358" s="417"/>
      <c r="N358" s="414"/>
      <c r="O358" s="417"/>
      <c r="P358" s="417"/>
      <c r="Q358" s="415">
        <f t="shared" si="12"/>
        <v>0</v>
      </c>
    </row>
    <row r="359" spans="1:17" ht="21.75" x14ac:dyDescent="0.5">
      <c r="A359" s="413"/>
      <c r="B359" s="413"/>
      <c r="C359" s="416" t="s">
        <v>2725</v>
      </c>
      <c r="D359" s="417"/>
      <c r="E359" s="417"/>
      <c r="F359" s="417"/>
      <c r="G359" s="417"/>
      <c r="H359" s="417"/>
      <c r="I359" s="417"/>
      <c r="J359" s="417"/>
      <c r="K359" s="417"/>
      <c r="L359" s="417"/>
      <c r="M359" s="417"/>
      <c r="N359" s="414"/>
      <c r="O359" s="417"/>
      <c r="P359" s="417"/>
      <c r="Q359" s="415"/>
    </row>
    <row r="360" spans="1:17" ht="21.75" x14ac:dyDescent="0.5">
      <c r="A360" s="413">
        <v>323</v>
      </c>
      <c r="B360" s="413" t="s">
        <v>28</v>
      </c>
      <c r="C360" s="416" t="s">
        <v>1874</v>
      </c>
      <c r="D360" s="417"/>
      <c r="E360" s="417"/>
      <c r="F360" s="417"/>
      <c r="G360" s="417"/>
      <c r="H360" s="417"/>
      <c r="I360" s="417"/>
      <c r="J360" s="417"/>
      <c r="K360" s="417"/>
      <c r="L360" s="417"/>
      <c r="M360" s="417"/>
      <c r="N360" s="414"/>
      <c r="O360" s="417"/>
      <c r="P360" s="417"/>
      <c r="Q360" s="415">
        <f t="shared" ref="Q360:Q400" si="13">SUM(D360:P360)</f>
        <v>0</v>
      </c>
    </row>
    <row r="361" spans="1:17" ht="21.75" x14ac:dyDescent="0.5">
      <c r="A361" s="413">
        <v>324</v>
      </c>
      <c r="B361" s="413"/>
      <c r="C361" s="416" t="s">
        <v>2726</v>
      </c>
      <c r="D361" s="417"/>
      <c r="E361" s="417"/>
      <c r="F361" s="417"/>
      <c r="G361" s="417"/>
      <c r="H361" s="417"/>
      <c r="I361" s="417"/>
      <c r="J361" s="417"/>
      <c r="K361" s="417"/>
      <c r="L361" s="417"/>
      <c r="M361" s="417"/>
      <c r="N361" s="414"/>
      <c r="O361" s="417"/>
      <c r="P361" s="417"/>
      <c r="Q361" s="415">
        <f t="shared" si="13"/>
        <v>0</v>
      </c>
    </row>
    <row r="362" spans="1:17" ht="21.75" x14ac:dyDescent="0.5">
      <c r="A362" s="413">
        <v>325</v>
      </c>
      <c r="B362" s="413" t="s">
        <v>28</v>
      </c>
      <c r="C362" s="416" t="s">
        <v>1878</v>
      </c>
      <c r="D362" s="417"/>
      <c r="E362" s="417"/>
      <c r="F362" s="417"/>
      <c r="G362" s="417"/>
      <c r="H362" s="417"/>
      <c r="I362" s="417"/>
      <c r="J362" s="417"/>
      <c r="K362" s="417"/>
      <c r="L362" s="417"/>
      <c r="M362" s="417"/>
      <c r="N362" s="414"/>
      <c r="O362" s="417"/>
      <c r="P362" s="417"/>
      <c r="Q362" s="415">
        <f t="shared" si="13"/>
        <v>0</v>
      </c>
    </row>
    <row r="363" spans="1:17" ht="21.75" x14ac:dyDescent="0.5">
      <c r="A363" s="413">
        <v>326</v>
      </c>
      <c r="B363" s="413"/>
      <c r="C363" s="416" t="s">
        <v>2727</v>
      </c>
      <c r="D363" s="417"/>
      <c r="E363" s="417"/>
      <c r="F363" s="417"/>
      <c r="G363" s="417"/>
      <c r="H363" s="417"/>
      <c r="I363" s="417"/>
      <c r="J363" s="417"/>
      <c r="K363" s="417"/>
      <c r="L363" s="417"/>
      <c r="M363" s="417"/>
      <c r="N363" s="414"/>
      <c r="O363" s="417"/>
      <c r="P363" s="417"/>
      <c r="Q363" s="415">
        <f t="shared" si="13"/>
        <v>0</v>
      </c>
    </row>
    <row r="364" spans="1:17" ht="21.75" x14ac:dyDescent="0.5">
      <c r="A364" s="413">
        <v>327</v>
      </c>
      <c r="B364" s="413"/>
      <c r="C364" s="416" t="s">
        <v>407</v>
      </c>
      <c r="D364" s="417"/>
      <c r="E364" s="417"/>
      <c r="F364" s="417"/>
      <c r="G364" s="417"/>
      <c r="H364" s="417"/>
      <c r="I364" s="417"/>
      <c r="J364" s="417"/>
      <c r="K364" s="417"/>
      <c r="L364" s="417"/>
      <c r="M364" s="417"/>
      <c r="N364" s="414"/>
      <c r="O364" s="417"/>
      <c r="P364" s="417"/>
      <c r="Q364" s="415">
        <f t="shared" si="13"/>
        <v>0</v>
      </c>
    </row>
    <row r="365" spans="1:17" ht="21.75" x14ac:dyDescent="0.5">
      <c r="A365" s="413">
        <v>328</v>
      </c>
      <c r="B365" s="413"/>
      <c r="C365" s="416" t="s">
        <v>1889</v>
      </c>
      <c r="D365" s="417"/>
      <c r="E365" s="417"/>
      <c r="F365" s="417"/>
      <c r="G365" s="417"/>
      <c r="H365" s="417"/>
      <c r="I365" s="417"/>
      <c r="J365" s="417"/>
      <c r="K365" s="417"/>
      <c r="L365" s="417"/>
      <c r="M365" s="417"/>
      <c r="N365" s="414"/>
      <c r="O365" s="417"/>
      <c r="P365" s="417"/>
      <c r="Q365" s="415">
        <f t="shared" si="13"/>
        <v>0</v>
      </c>
    </row>
    <row r="366" spans="1:17" ht="21.75" x14ac:dyDescent="0.5">
      <c r="A366" s="413">
        <v>329</v>
      </c>
      <c r="B366" s="413"/>
      <c r="C366" s="416" t="s">
        <v>2728</v>
      </c>
      <c r="D366" s="417"/>
      <c r="E366" s="417"/>
      <c r="F366" s="417"/>
      <c r="G366" s="417"/>
      <c r="H366" s="417"/>
      <c r="I366" s="417"/>
      <c r="J366" s="417"/>
      <c r="K366" s="417"/>
      <c r="L366" s="417"/>
      <c r="M366" s="417"/>
      <c r="N366" s="414"/>
      <c r="O366" s="417"/>
      <c r="P366" s="417"/>
      <c r="Q366" s="415">
        <f t="shared" si="13"/>
        <v>0</v>
      </c>
    </row>
    <row r="367" spans="1:17" ht="21.75" x14ac:dyDescent="0.5">
      <c r="A367" s="413">
        <v>330</v>
      </c>
      <c r="B367" s="413"/>
      <c r="C367" s="416" t="s">
        <v>2729</v>
      </c>
      <c r="D367" s="417"/>
      <c r="E367" s="417"/>
      <c r="F367" s="417"/>
      <c r="G367" s="417"/>
      <c r="H367" s="417"/>
      <c r="I367" s="417"/>
      <c r="J367" s="417"/>
      <c r="K367" s="417"/>
      <c r="L367" s="417"/>
      <c r="M367" s="417"/>
      <c r="N367" s="414"/>
      <c r="O367" s="417"/>
      <c r="P367" s="417"/>
      <c r="Q367" s="415">
        <f t="shared" si="13"/>
        <v>0</v>
      </c>
    </row>
    <row r="368" spans="1:17" ht="21.75" x14ac:dyDescent="0.5">
      <c r="A368" s="413">
        <v>331</v>
      </c>
      <c r="B368" s="413"/>
      <c r="C368" s="416" t="s">
        <v>2094</v>
      </c>
      <c r="D368" s="417"/>
      <c r="E368" s="417"/>
      <c r="F368" s="417"/>
      <c r="G368" s="417"/>
      <c r="H368" s="417"/>
      <c r="I368" s="417"/>
      <c r="J368" s="417"/>
      <c r="K368" s="417"/>
      <c r="L368" s="417"/>
      <c r="M368" s="417"/>
      <c r="N368" s="414"/>
      <c r="O368" s="417"/>
      <c r="P368" s="417"/>
      <c r="Q368" s="415">
        <f t="shared" si="13"/>
        <v>0</v>
      </c>
    </row>
    <row r="369" spans="1:17" ht="21.75" x14ac:dyDescent="0.5">
      <c r="A369" s="413">
        <v>332</v>
      </c>
      <c r="B369" s="413" t="s">
        <v>28</v>
      </c>
      <c r="C369" s="416" t="s">
        <v>1919</v>
      </c>
      <c r="D369" s="417"/>
      <c r="E369" s="417"/>
      <c r="F369" s="417"/>
      <c r="G369" s="417"/>
      <c r="H369" s="417"/>
      <c r="I369" s="417"/>
      <c r="J369" s="417"/>
      <c r="K369" s="417"/>
      <c r="L369" s="417"/>
      <c r="M369" s="417"/>
      <c r="N369" s="414"/>
      <c r="O369" s="417"/>
      <c r="P369" s="417"/>
      <c r="Q369" s="415">
        <f t="shared" si="13"/>
        <v>0</v>
      </c>
    </row>
    <row r="370" spans="1:17" ht="21.75" x14ac:dyDescent="0.5">
      <c r="A370" s="413">
        <v>333</v>
      </c>
      <c r="B370" s="413" t="s">
        <v>28</v>
      </c>
      <c r="C370" s="416" t="s">
        <v>1922</v>
      </c>
      <c r="D370" s="417"/>
      <c r="E370" s="417"/>
      <c r="F370" s="417"/>
      <c r="G370" s="417"/>
      <c r="H370" s="417"/>
      <c r="I370" s="417"/>
      <c r="J370" s="417"/>
      <c r="K370" s="417"/>
      <c r="L370" s="417"/>
      <c r="M370" s="417"/>
      <c r="N370" s="416"/>
      <c r="O370" s="417"/>
      <c r="P370" s="417"/>
      <c r="Q370" s="415">
        <f t="shared" si="13"/>
        <v>0</v>
      </c>
    </row>
    <row r="371" spans="1:17" ht="21.75" x14ac:dyDescent="0.5">
      <c r="A371" s="413">
        <v>334</v>
      </c>
      <c r="B371" s="413"/>
      <c r="C371" s="416" t="s">
        <v>1925</v>
      </c>
      <c r="D371" s="417"/>
      <c r="E371" s="417"/>
      <c r="F371" s="417"/>
      <c r="G371" s="417"/>
      <c r="H371" s="417"/>
      <c r="I371" s="417"/>
      <c r="J371" s="417"/>
      <c r="K371" s="417"/>
      <c r="L371" s="417"/>
      <c r="M371" s="417"/>
      <c r="N371" s="416"/>
      <c r="O371" s="417"/>
      <c r="P371" s="417"/>
      <c r="Q371" s="415">
        <f t="shared" si="13"/>
        <v>0</v>
      </c>
    </row>
    <row r="372" spans="1:17" ht="21.75" x14ac:dyDescent="0.5">
      <c r="A372" s="413"/>
      <c r="B372" s="413"/>
      <c r="C372" s="416" t="s">
        <v>1933</v>
      </c>
      <c r="D372" s="417"/>
      <c r="E372" s="417"/>
      <c r="F372" s="417"/>
      <c r="G372" s="417"/>
      <c r="H372" s="417"/>
      <c r="I372" s="417"/>
      <c r="J372" s="417"/>
      <c r="K372" s="417"/>
      <c r="L372" s="417"/>
      <c r="M372" s="417"/>
      <c r="N372" s="414"/>
      <c r="O372" s="417"/>
      <c r="P372" s="417"/>
      <c r="Q372" s="415">
        <f t="shared" si="13"/>
        <v>0</v>
      </c>
    </row>
    <row r="373" spans="1:17" ht="21.75" x14ac:dyDescent="0.5">
      <c r="A373" s="413">
        <v>335</v>
      </c>
      <c r="B373" s="413"/>
      <c r="C373" s="414" t="s">
        <v>2730</v>
      </c>
      <c r="D373" s="417"/>
      <c r="E373" s="417"/>
      <c r="F373" s="417"/>
      <c r="G373" s="417"/>
      <c r="H373" s="417"/>
      <c r="I373" s="417"/>
      <c r="J373" s="417"/>
      <c r="K373" s="417"/>
      <c r="L373" s="417"/>
      <c r="M373" s="417"/>
      <c r="N373" s="414"/>
      <c r="O373" s="417"/>
      <c r="P373" s="417"/>
      <c r="Q373" s="415">
        <f t="shared" si="13"/>
        <v>0</v>
      </c>
    </row>
    <row r="374" spans="1:17" ht="21.75" x14ac:dyDescent="0.5">
      <c r="A374" s="413"/>
      <c r="B374" s="413"/>
      <c r="C374" s="414" t="s">
        <v>2731</v>
      </c>
      <c r="D374" s="417"/>
      <c r="E374" s="417"/>
      <c r="F374" s="417"/>
      <c r="G374" s="417"/>
      <c r="H374" s="417"/>
      <c r="I374" s="417"/>
      <c r="J374" s="417"/>
      <c r="K374" s="417"/>
      <c r="L374" s="417"/>
      <c r="M374" s="417"/>
      <c r="N374" s="414"/>
      <c r="O374" s="417"/>
      <c r="P374" s="417"/>
      <c r="Q374" s="415">
        <f t="shared" si="13"/>
        <v>0</v>
      </c>
    </row>
    <row r="375" spans="1:17" ht="21.75" x14ac:dyDescent="0.5">
      <c r="A375" s="413">
        <v>336</v>
      </c>
      <c r="B375" s="413"/>
      <c r="C375" s="414" t="s">
        <v>2732</v>
      </c>
      <c r="D375" s="417"/>
      <c r="E375" s="417"/>
      <c r="F375" s="417"/>
      <c r="G375" s="417"/>
      <c r="H375" s="417"/>
      <c r="I375" s="417"/>
      <c r="J375" s="417"/>
      <c r="K375" s="417"/>
      <c r="L375" s="417"/>
      <c r="M375" s="417"/>
      <c r="N375" s="416"/>
      <c r="O375" s="417"/>
      <c r="P375" s="417"/>
      <c r="Q375" s="415">
        <f t="shared" si="13"/>
        <v>0</v>
      </c>
    </row>
    <row r="376" spans="1:17" ht="21.75" x14ac:dyDescent="0.5">
      <c r="A376" s="413">
        <v>337</v>
      </c>
      <c r="B376" s="413"/>
      <c r="C376" s="416" t="s">
        <v>2146</v>
      </c>
      <c r="D376" s="417"/>
      <c r="E376" s="417"/>
      <c r="F376" s="417"/>
      <c r="G376" s="417"/>
      <c r="H376" s="417"/>
      <c r="I376" s="417"/>
      <c r="J376" s="417"/>
      <c r="K376" s="417"/>
      <c r="L376" s="417"/>
      <c r="M376" s="417"/>
      <c r="N376" s="414"/>
      <c r="O376" s="417"/>
      <c r="P376" s="417"/>
      <c r="Q376" s="415">
        <f t="shared" si="13"/>
        <v>0</v>
      </c>
    </row>
    <row r="377" spans="1:17" ht="21.75" x14ac:dyDescent="0.5">
      <c r="A377" s="413">
        <v>338</v>
      </c>
      <c r="B377" s="413"/>
      <c r="C377" s="416" t="s">
        <v>2733</v>
      </c>
      <c r="D377" s="417"/>
      <c r="E377" s="417"/>
      <c r="F377" s="417"/>
      <c r="G377" s="417"/>
      <c r="H377" s="417"/>
      <c r="I377" s="417"/>
      <c r="J377" s="417"/>
      <c r="K377" s="417"/>
      <c r="L377" s="417"/>
      <c r="M377" s="417"/>
      <c r="N377" s="414"/>
      <c r="O377" s="417"/>
      <c r="P377" s="417"/>
      <c r="Q377" s="415">
        <f t="shared" si="13"/>
        <v>0</v>
      </c>
    </row>
    <row r="378" spans="1:17" ht="21.75" x14ac:dyDescent="0.5">
      <c r="A378" s="413">
        <v>339</v>
      </c>
      <c r="B378" s="413"/>
      <c r="C378" s="416" t="s">
        <v>2734</v>
      </c>
      <c r="D378" s="417"/>
      <c r="E378" s="417"/>
      <c r="F378" s="417"/>
      <c r="G378" s="417"/>
      <c r="H378" s="417"/>
      <c r="I378" s="417"/>
      <c r="J378" s="417"/>
      <c r="K378" s="417"/>
      <c r="L378" s="417"/>
      <c r="M378" s="417"/>
      <c r="N378" s="414"/>
      <c r="O378" s="417"/>
      <c r="P378" s="417"/>
      <c r="Q378" s="415">
        <f t="shared" si="13"/>
        <v>0</v>
      </c>
    </row>
    <row r="379" spans="1:17" ht="21.75" x14ac:dyDescent="0.5">
      <c r="A379" s="413">
        <v>340</v>
      </c>
      <c r="B379" s="413"/>
      <c r="C379" s="419" t="s">
        <v>2735</v>
      </c>
      <c r="D379" s="417"/>
      <c r="E379" s="417"/>
      <c r="F379" s="417"/>
      <c r="G379" s="417"/>
      <c r="H379" s="417"/>
      <c r="I379" s="417"/>
      <c r="J379" s="417"/>
      <c r="K379" s="417"/>
      <c r="L379" s="417"/>
      <c r="M379" s="417"/>
      <c r="N379" s="414"/>
      <c r="O379" s="417"/>
      <c r="P379" s="417"/>
      <c r="Q379" s="415">
        <f t="shared" si="13"/>
        <v>0</v>
      </c>
    </row>
    <row r="380" spans="1:17" ht="21.75" x14ac:dyDescent="0.5">
      <c r="A380" s="413">
        <v>341</v>
      </c>
      <c r="B380" s="413"/>
      <c r="C380" s="421" t="s">
        <v>2736</v>
      </c>
      <c r="D380" s="417"/>
      <c r="E380" s="417"/>
      <c r="F380" s="417"/>
      <c r="G380" s="417"/>
      <c r="H380" s="417"/>
      <c r="I380" s="417"/>
      <c r="J380" s="417"/>
      <c r="K380" s="417"/>
      <c r="L380" s="417"/>
      <c r="M380" s="417"/>
      <c r="N380" s="414"/>
      <c r="O380" s="417"/>
      <c r="P380" s="417"/>
      <c r="Q380" s="415">
        <f t="shared" si="13"/>
        <v>0</v>
      </c>
    </row>
    <row r="381" spans="1:17" ht="21.75" x14ac:dyDescent="0.5">
      <c r="A381" s="413">
        <v>342</v>
      </c>
      <c r="B381" s="413"/>
      <c r="C381" s="421" t="s">
        <v>2737</v>
      </c>
      <c r="D381" s="417"/>
      <c r="E381" s="417"/>
      <c r="F381" s="417"/>
      <c r="G381" s="417"/>
      <c r="H381" s="417"/>
      <c r="I381" s="417"/>
      <c r="J381" s="417"/>
      <c r="K381" s="417"/>
      <c r="L381" s="417"/>
      <c r="M381" s="417"/>
      <c r="N381" s="414"/>
      <c r="O381" s="417"/>
      <c r="P381" s="417"/>
      <c r="Q381" s="415">
        <f t="shared" si="13"/>
        <v>0</v>
      </c>
    </row>
    <row r="382" spans="1:17" ht="21.75" x14ac:dyDescent="0.5">
      <c r="A382" s="413">
        <v>343</v>
      </c>
      <c r="B382" s="413"/>
      <c r="C382" s="421" t="s">
        <v>422</v>
      </c>
      <c r="D382" s="417"/>
      <c r="E382" s="417"/>
      <c r="F382" s="417"/>
      <c r="G382" s="417"/>
      <c r="H382" s="417"/>
      <c r="I382" s="417"/>
      <c r="J382" s="417"/>
      <c r="K382" s="417"/>
      <c r="L382" s="417"/>
      <c r="M382" s="417"/>
      <c r="N382" s="414"/>
      <c r="O382" s="417"/>
      <c r="P382" s="417"/>
      <c r="Q382" s="415">
        <f t="shared" si="13"/>
        <v>0</v>
      </c>
    </row>
    <row r="383" spans="1:17" ht="21.75" x14ac:dyDescent="0.5">
      <c r="A383" s="413">
        <v>344</v>
      </c>
      <c r="B383" s="413"/>
      <c r="C383" s="421" t="s">
        <v>2738</v>
      </c>
      <c r="D383" s="417"/>
      <c r="E383" s="417"/>
      <c r="F383" s="417"/>
      <c r="G383" s="417"/>
      <c r="H383" s="417"/>
      <c r="I383" s="417"/>
      <c r="J383" s="417"/>
      <c r="K383" s="417"/>
      <c r="L383" s="417"/>
      <c r="M383" s="417"/>
      <c r="N383" s="414"/>
      <c r="O383" s="417"/>
      <c r="P383" s="417"/>
      <c r="Q383" s="415">
        <f t="shared" si="13"/>
        <v>0</v>
      </c>
    </row>
    <row r="384" spans="1:17" ht="21.75" x14ac:dyDescent="0.5">
      <c r="A384" s="413">
        <v>345</v>
      </c>
      <c r="B384" s="413"/>
      <c r="C384" s="421" t="s">
        <v>2739</v>
      </c>
      <c r="D384" s="417"/>
      <c r="E384" s="417"/>
      <c r="F384" s="417"/>
      <c r="G384" s="417"/>
      <c r="H384" s="417"/>
      <c r="I384" s="417"/>
      <c r="J384" s="417"/>
      <c r="K384" s="417"/>
      <c r="L384" s="417"/>
      <c r="M384" s="417"/>
      <c r="N384" s="414"/>
      <c r="O384" s="417"/>
      <c r="P384" s="417"/>
      <c r="Q384" s="415">
        <f t="shared" si="13"/>
        <v>0</v>
      </c>
    </row>
    <row r="385" spans="1:17" ht="21.75" x14ac:dyDescent="0.5">
      <c r="A385" s="413"/>
      <c r="B385" s="413"/>
      <c r="C385" s="421" t="s">
        <v>2740</v>
      </c>
      <c r="D385" s="417"/>
      <c r="E385" s="417"/>
      <c r="F385" s="417"/>
      <c r="G385" s="417"/>
      <c r="H385" s="417"/>
      <c r="I385" s="417"/>
      <c r="J385" s="417"/>
      <c r="K385" s="417"/>
      <c r="L385" s="417"/>
      <c r="M385" s="417"/>
      <c r="N385" s="414"/>
      <c r="O385" s="417"/>
      <c r="P385" s="417"/>
      <c r="Q385" s="415">
        <f t="shared" si="13"/>
        <v>0</v>
      </c>
    </row>
    <row r="386" spans="1:17" ht="21.75" x14ac:dyDescent="0.5">
      <c r="A386" s="413">
        <v>346</v>
      </c>
      <c r="B386" s="413"/>
      <c r="C386" s="421" t="s">
        <v>2138</v>
      </c>
      <c r="D386" s="417"/>
      <c r="E386" s="417"/>
      <c r="F386" s="417"/>
      <c r="G386" s="417"/>
      <c r="H386" s="417"/>
      <c r="I386" s="417"/>
      <c r="J386" s="417"/>
      <c r="K386" s="417"/>
      <c r="L386" s="417"/>
      <c r="M386" s="417"/>
      <c r="N386" s="414"/>
      <c r="O386" s="417"/>
      <c r="P386" s="417"/>
      <c r="Q386" s="415">
        <f t="shared" si="13"/>
        <v>0</v>
      </c>
    </row>
    <row r="387" spans="1:17" ht="21.75" x14ac:dyDescent="0.5">
      <c r="A387" s="413">
        <v>347</v>
      </c>
      <c r="B387" s="413"/>
      <c r="C387" s="421" t="s">
        <v>2741</v>
      </c>
      <c r="D387" s="417"/>
      <c r="E387" s="417"/>
      <c r="F387" s="417"/>
      <c r="G387" s="417"/>
      <c r="H387" s="417"/>
      <c r="I387" s="417"/>
      <c r="J387" s="417"/>
      <c r="K387" s="417"/>
      <c r="L387" s="417"/>
      <c r="M387" s="417"/>
      <c r="N387" s="414"/>
      <c r="O387" s="417"/>
      <c r="P387" s="417"/>
      <c r="Q387" s="415">
        <f t="shared" si="13"/>
        <v>0</v>
      </c>
    </row>
    <row r="388" spans="1:17" ht="21.75" x14ac:dyDescent="0.5">
      <c r="A388" s="413">
        <v>348</v>
      </c>
      <c r="B388" s="413"/>
      <c r="C388" s="421" t="s">
        <v>2742</v>
      </c>
      <c r="D388" s="417"/>
      <c r="E388" s="417"/>
      <c r="F388" s="417"/>
      <c r="G388" s="417"/>
      <c r="H388" s="417"/>
      <c r="I388" s="417"/>
      <c r="J388" s="417"/>
      <c r="K388" s="417"/>
      <c r="L388" s="417"/>
      <c r="M388" s="417"/>
      <c r="N388" s="414"/>
      <c r="O388" s="417"/>
      <c r="P388" s="417"/>
      <c r="Q388" s="415">
        <f t="shared" si="13"/>
        <v>0</v>
      </c>
    </row>
    <row r="389" spans="1:17" ht="21.75" x14ac:dyDescent="0.5">
      <c r="A389" s="413">
        <v>349</v>
      </c>
      <c r="B389" s="413"/>
      <c r="C389" s="416" t="s">
        <v>2743</v>
      </c>
      <c r="D389" s="417"/>
      <c r="E389" s="417"/>
      <c r="F389" s="417"/>
      <c r="G389" s="417"/>
      <c r="H389" s="417"/>
      <c r="I389" s="417"/>
      <c r="J389" s="417"/>
      <c r="K389" s="417"/>
      <c r="L389" s="417"/>
      <c r="M389" s="417"/>
      <c r="N389" s="414"/>
      <c r="O389" s="417"/>
      <c r="P389" s="417"/>
      <c r="Q389" s="415">
        <f t="shared" si="13"/>
        <v>0</v>
      </c>
    </row>
    <row r="390" spans="1:17" ht="21.75" x14ac:dyDescent="0.5">
      <c r="A390" s="413">
        <v>350</v>
      </c>
      <c r="B390" s="414" t="s">
        <v>2152</v>
      </c>
      <c r="C390" s="421" t="s">
        <v>2744</v>
      </c>
      <c r="D390" s="417"/>
      <c r="E390" s="417"/>
      <c r="F390" s="417"/>
      <c r="G390" s="417"/>
      <c r="H390" s="417"/>
      <c r="I390" s="417"/>
      <c r="J390" s="417"/>
      <c r="K390" s="417"/>
      <c r="L390" s="417"/>
      <c r="M390" s="417"/>
      <c r="N390" s="414"/>
      <c r="O390" s="417"/>
      <c r="P390" s="417"/>
      <c r="Q390" s="415">
        <f t="shared" si="13"/>
        <v>0</v>
      </c>
    </row>
    <row r="391" spans="1:17" ht="21.75" x14ac:dyDescent="0.5">
      <c r="A391" s="413">
        <v>351</v>
      </c>
      <c r="B391" s="414"/>
      <c r="C391" s="421" t="s">
        <v>998</v>
      </c>
      <c r="D391" s="417"/>
      <c r="E391" s="417"/>
      <c r="F391" s="417"/>
      <c r="G391" s="417"/>
      <c r="H391" s="417"/>
      <c r="I391" s="417"/>
      <c r="J391" s="417"/>
      <c r="K391" s="417"/>
      <c r="L391" s="417"/>
      <c r="M391" s="417"/>
      <c r="N391" s="414"/>
      <c r="O391" s="417"/>
      <c r="P391" s="417"/>
      <c r="Q391" s="415">
        <f t="shared" si="13"/>
        <v>0</v>
      </c>
    </row>
    <row r="392" spans="1:17" ht="21.75" x14ac:dyDescent="0.5">
      <c r="A392" s="413">
        <v>352</v>
      </c>
      <c r="B392" s="414"/>
      <c r="C392" s="421" t="s">
        <v>1948</v>
      </c>
      <c r="D392" s="417"/>
      <c r="E392" s="417"/>
      <c r="F392" s="417"/>
      <c r="G392" s="417"/>
      <c r="H392" s="417"/>
      <c r="I392" s="417"/>
      <c r="J392" s="417"/>
      <c r="K392" s="417"/>
      <c r="L392" s="417"/>
      <c r="M392" s="417"/>
      <c r="N392" s="414"/>
      <c r="O392" s="417"/>
      <c r="P392" s="417"/>
      <c r="Q392" s="415">
        <f t="shared" si="13"/>
        <v>0</v>
      </c>
    </row>
    <row r="393" spans="1:17" ht="21.75" x14ac:dyDescent="0.5">
      <c r="A393" s="413"/>
      <c r="B393" s="414"/>
      <c r="C393" s="421" t="s">
        <v>2745</v>
      </c>
      <c r="D393" s="417"/>
      <c r="E393" s="417"/>
      <c r="F393" s="417"/>
      <c r="G393" s="417"/>
      <c r="H393" s="417"/>
      <c r="I393" s="417"/>
      <c r="J393" s="417"/>
      <c r="K393" s="417"/>
      <c r="L393" s="417"/>
      <c r="M393" s="417"/>
      <c r="N393" s="414"/>
      <c r="O393" s="417"/>
      <c r="P393" s="417"/>
      <c r="Q393" s="415">
        <f t="shared" si="13"/>
        <v>0</v>
      </c>
    </row>
    <row r="394" spans="1:17" ht="21.75" x14ac:dyDescent="0.5">
      <c r="A394" s="413">
        <v>353</v>
      </c>
      <c r="B394" s="414"/>
      <c r="C394" s="421" t="s">
        <v>2005</v>
      </c>
      <c r="D394" s="417"/>
      <c r="E394" s="417"/>
      <c r="F394" s="417"/>
      <c r="G394" s="417"/>
      <c r="H394" s="417"/>
      <c r="I394" s="417"/>
      <c r="J394" s="417"/>
      <c r="K394" s="417"/>
      <c r="L394" s="417"/>
      <c r="M394" s="417"/>
      <c r="N394" s="414"/>
      <c r="O394" s="417"/>
      <c r="P394" s="417"/>
      <c r="Q394" s="415">
        <f t="shared" si="13"/>
        <v>0</v>
      </c>
    </row>
    <row r="395" spans="1:17" ht="21.75" x14ac:dyDescent="0.5">
      <c r="A395" s="413">
        <v>354</v>
      </c>
      <c r="B395" s="413" t="s">
        <v>28</v>
      </c>
      <c r="C395" s="421" t="s">
        <v>2012</v>
      </c>
      <c r="D395" s="417"/>
      <c r="E395" s="417"/>
      <c r="F395" s="417"/>
      <c r="G395" s="417"/>
      <c r="H395" s="417"/>
      <c r="I395" s="417"/>
      <c r="J395" s="417"/>
      <c r="K395" s="417"/>
      <c r="L395" s="417"/>
      <c r="M395" s="417"/>
      <c r="N395" s="414"/>
      <c r="O395" s="417"/>
      <c r="P395" s="417"/>
      <c r="Q395" s="415">
        <f t="shared" si="13"/>
        <v>0</v>
      </c>
    </row>
    <row r="396" spans="1:17" ht="21.75" x14ac:dyDescent="0.5">
      <c r="A396" s="413">
        <v>355</v>
      </c>
      <c r="B396" s="413"/>
      <c r="C396" s="421" t="s">
        <v>2036</v>
      </c>
      <c r="D396" s="417"/>
      <c r="E396" s="417"/>
      <c r="F396" s="417"/>
      <c r="G396" s="417"/>
      <c r="H396" s="417"/>
      <c r="I396" s="417"/>
      <c r="J396" s="417"/>
      <c r="K396" s="417"/>
      <c r="L396" s="417"/>
      <c r="M396" s="417"/>
      <c r="N396" s="414"/>
      <c r="O396" s="417"/>
      <c r="P396" s="417"/>
      <c r="Q396" s="415">
        <f t="shared" si="13"/>
        <v>0</v>
      </c>
    </row>
    <row r="397" spans="1:17" ht="21.75" x14ac:dyDescent="0.5">
      <c r="A397" s="413">
        <v>356</v>
      </c>
      <c r="B397" s="413" t="s">
        <v>28</v>
      </c>
      <c r="C397" s="421" t="s">
        <v>2746</v>
      </c>
      <c r="D397" s="417"/>
      <c r="E397" s="417"/>
      <c r="F397" s="417"/>
      <c r="G397" s="417"/>
      <c r="H397" s="417"/>
      <c r="I397" s="417"/>
      <c r="J397" s="417"/>
      <c r="K397" s="417"/>
      <c r="L397" s="417"/>
      <c r="M397" s="417"/>
      <c r="N397" s="414"/>
      <c r="O397" s="417"/>
      <c r="P397" s="417"/>
      <c r="Q397" s="415">
        <f t="shared" si="13"/>
        <v>0</v>
      </c>
    </row>
    <row r="398" spans="1:17" ht="21.75" x14ac:dyDescent="0.5">
      <c r="A398" s="413">
        <v>357</v>
      </c>
      <c r="B398" s="413" t="s">
        <v>28</v>
      </c>
      <c r="C398" s="421" t="s">
        <v>2041</v>
      </c>
      <c r="D398" s="417"/>
      <c r="E398" s="417"/>
      <c r="F398" s="417"/>
      <c r="G398" s="417"/>
      <c r="H398" s="417"/>
      <c r="I398" s="417"/>
      <c r="J398" s="417"/>
      <c r="K398" s="417"/>
      <c r="L398" s="417"/>
      <c r="M398" s="417"/>
      <c r="N398" s="414"/>
      <c r="O398" s="417"/>
      <c r="P398" s="417"/>
      <c r="Q398" s="415">
        <f t="shared" si="13"/>
        <v>0</v>
      </c>
    </row>
    <row r="399" spans="1:17" ht="21.75" x14ac:dyDescent="0.5">
      <c r="A399" s="413">
        <v>358</v>
      </c>
      <c r="B399" s="413" t="s">
        <v>28</v>
      </c>
      <c r="C399" s="421" t="s">
        <v>2046</v>
      </c>
      <c r="D399" s="417"/>
      <c r="E399" s="417"/>
      <c r="F399" s="417"/>
      <c r="G399" s="417"/>
      <c r="H399" s="417"/>
      <c r="I399" s="417"/>
      <c r="J399" s="417"/>
      <c r="K399" s="417"/>
      <c r="L399" s="417"/>
      <c r="M399" s="417"/>
      <c r="N399" s="414"/>
      <c r="O399" s="417"/>
      <c r="P399" s="417"/>
      <c r="Q399" s="415">
        <f t="shared" si="13"/>
        <v>0</v>
      </c>
    </row>
    <row r="400" spans="1:17" ht="21.75" x14ac:dyDescent="0.5">
      <c r="A400" s="413">
        <v>359</v>
      </c>
      <c r="B400" s="413" t="s">
        <v>28</v>
      </c>
      <c r="C400" s="421" t="s">
        <v>2058</v>
      </c>
      <c r="D400" s="417"/>
      <c r="E400" s="417"/>
      <c r="F400" s="417"/>
      <c r="G400" s="417"/>
      <c r="H400" s="417"/>
      <c r="I400" s="417"/>
      <c r="J400" s="417"/>
      <c r="K400" s="417"/>
      <c r="L400" s="417"/>
      <c r="M400" s="417"/>
      <c r="N400" s="416"/>
      <c r="O400" s="417"/>
      <c r="P400" s="417"/>
      <c r="Q400" s="415">
        <f t="shared" si="13"/>
        <v>0</v>
      </c>
    </row>
    <row r="401" spans="1:17" ht="21.75" x14ac:dyDescent="0.5">
      <c r="A401" s="413">
        <v>360</v>
      </c>
      <c r="B401" s="413" t="s">
        <v>28</v>
      </c>
      <c r="C401" s="421" t="s">
        <v>2075</v>
      </c>
      <c r="D401" s="417"/>
      <c r="E401" s="417"/>
      <c r="F401" s="417"/>
      <c r="G401" s="417"/>
      <c r="H401" s="417"/>
      <c r="I401" s="417"/>
      <c r="J401" s="417"/>
      <c r="K401" s="417"/>
      <c r="L401" s="417"/>
      <c r="M401" s="417"/>
      <c r="N401" s="416"/>
      <c r="O401" s="417"/>
      <c r="P401" s="417"/>
      <c r="Q401" s="415"/>
    </row>
    <row r="402" spans="1:17" ht="21.75" x14ac:dyDescent="0.5">
      <c r="A402" s="413">
        <v>361</v>
      </c>
      <c r="B402" s="422"/>
      <c r="C402" s="414" t="s">
        <v>2747</v>
      </c>
      <c r="D402" s="417"/>
      <c r="E402" s="417"/>
      <c r="F402" s="417"/>
      <c r="G402" s="417"/>
      <c r="H402" s="417"/>
      <c r="I402" s="417"/>
      <c r="J402" s="417"/>
      <c r="K402" s="417"/>
      <c r="L402" s="417"/>
      <c r="M402" s="417"/>
      <c r="N402" s="414"/>
      <c r="O402" s="417"/>
      <c r="P402" s="417"/>
      <c r="Q402" s="415"/>
    </row>
    <row r="403" spans="1:17" ht="21.75" x14ac:dyDescent="0.5">
      <c r="A403" s="413">
        <v>362</v>
      </c>
      <c r="B403" s="413"/>
      <c r="C403" s="416" t="s">
        <v>2748</v>
      </c>
      <c r="D403" s="417"/>
      <c r="E403" s="417"/>
      <c r="F403" s="417"/>
      <c r="G403" s="417"/>
      <c r="H403" s="417"/>
      <c r="I403" s="417"/>
      <c r="J403" s="417"/>
      <c r="K403" s="417"/>
      <c r="L403" s="417"/>
      <c r="M403" s="417"/>
      <c r="N403" s="416"/>
      <c r="O403" s="417"/>
      <c r="P403" s="417"/>
      <c r="Q403" s="415">
        <f>SUM(D403:P403)</f>
        <v>0</v>
      </c>
    </row>
    <row r="404" spans="1:17" ht="22.5" thickBot="1" x14ac:dyDescent="0.55000000000000004">
      <c r="A404" s="423"/>
      <c r="B404" s="419"/>
      <c r="C404" s="424"/>
      <c r="D404" s="425">
        <f t="shared" ref="D404:M404" si="14">SUM(D2:D403)</f>
        <v>0</v>
      </c>
      <c r="E404" s="425">
        <f t="shared" si="14"/>
        <v>0</v>
      </c>
      <c r="F404" s="425">
        <f t="shared" si="14"/>
        <v>0</v>
      </c>
      <c r="G404" s="425">
        <f t="shared" si="14"/>
        <v>0</v>
      </c>
      <c r="H404" s="425">
        <f t="shared" si="14"/>
        <v>0</v>
      </c>
      <c r="I404" s="425">
        <f t="shared" si="14"/>
        <v>0</v>
      </c>
      <c r="J404" s="425">
        <f t="shared" si="14"/>
        <v>0</v>
      </c>
      <c r="K404" s="425">
        <f t="shared" si="14"/>
        <v>0</v>
      </c>
      <c r="L404" s="425">
        <f t="shared" si="14"/>
        <v>0</v>
      </c>
      <c r="M404" s="425">
        <f t="shared" si="14"/>
        <v>0</v>
      </c>
      <c r="N404" s="419"/>
      <c r="O404" s="425">
        <f>SUM(O2:O403)</f>
        <v>0</v>
      </c>
      <c r="P404" s="425">
        <f>SUM(P2:P403)</f>
        <v>0</v>
      </c>
      <c r="Q404" s="426">
        <f>SUM(D404:P404)</f>
        <v>0</v>
      </c>
    </row>
    <row r="405" spans="1:17" ht="15" thickTop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6AA8F-727F-4E99-9AE1-2D81E79458A4}">
  <dimension ref="A1:L700"/>
  <sheetViews>
    <sheetView zoomScaleNormal="100" workbookViewId="0">
      <pane ySplit="1" topLeftCell="A11" activePane="bottomLeft" state="frozen"/>
      <selection pane="bottomLeft" activeCell="D25" sqref="D25"/>
    </sheetView>
  </sheetViews>
  <sheetFormatPr defaultColWidth="9.5" defaultRowHeight="24" x14ac:dyDescent="0.55000000000000004"/>
  <cols>
    <col min="1" max="1" width="7" style="24" hidden="1" customWidth="1"/>
    <col min="2" max="2" width="31.125" style="2" customWidth="1"/>
    <col min="3" max="3" width="33.125" style="2" customWidth="1"/>
    <col min="4" max="4" width="11.25" style="24" bestFit="1" customWidth="1"/>
    <col min="5" max="5" width="16.25" style="2" bestFit="1" customWidth="1"/>
    <col min="6" max="6" width="18.5" style="24" bestFit="1" customWidth="1"/>
    <col min="7" max="7" width="30.75" style="2" customWidth="1"/>
    <col min="8" max="8" width="29.375" style="24" bestFit="1" customWidth="1"/>
    <col min="9" max="16384" width="9.5" style="2"/>
  </cols>
  <sheetData>
    <row r="1" spans="1: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55000000000000004">
      <c r="A2" s="1"/>
      <c r="B2" s="3" t="s">
        <v>8</v>
      </c>
      <c r="C2" s="3" t="s">
        <v>9</v>
      </c>
      <c r="D2" s="4" t="s">
        <v>10</v>
      </c>
      <c r="E2" s="3" t="s">
        <v>9</v>
      </c>
      <c r="F2" s="4"/>
      <c r="G2" s="3"/>
      <c r="H2" s="3"/>
    </row>
    <row r="3" spans="1:8" x14ac:dyDescent="0.55000000000000004">
      <c r="A3" s="1"/>
      <c r="B3" s="3" t="s">
        <v>11</v>
      </c>
      <c r="C3" s="3" t="s">
        <v>12</v>
      </c>
      <c r="D3" s="4" t="s">
        <v>13</v>
      </c>
      <c r="E3" s="3" t="s">
        <v>14</v>
      </c>
      <c r="F3" s="4"/>
      <c r="G3" s="3"/>
      <c r="H3" s="3"/>
    </row>
    <row r="4" spans="1:8" x14ac:dyDescent="0.55000000000000004">
      <c r="A4" s="1"/>
      <c r="B4" s="3" t="s">
        <v>15</v>
      </c>
      <c r="C4" s="3" t="s">
        <v>16</v>
      </c>
      <c r="D4" s="4" t="s">
        <v>13</v>
      </c>
      <c r="E4" s="3" t="s">
        <v>17</v>
      </c>
      <c r="F4" s="4"/>
      <c r="G4" s="3"/>
      <c r="H4" s="3"/>
    </row>
    <row r="5" spans="1:8" x14ac:dyDescent="0.55000000000000004">
      <c r="A5" s="1"/>
      <c r="B5" s="3" t="s">
        <v>18</v>
      </c>
      <c r="C5" s="3" t="s">
        <v>12</v>
      </c>
      <c r="D5" s="4" t="s">
        <v>13</v>
      </c>
      <c r="E5" s="3" t="s">
        <v>19</v>
      </c>
      <c r="F5" s="4"/>
      <c r="G5" s="3"/>
      <c r="H5" s="3"/>
    </row>
    <row r="6" spans="1:8" x14ac:dyDescent="0.55000000000000004">
      <c r="A6" s="1"/>
      <c r="B6" s="3" t="s">
        <v>20</v>
      </c>
      <c r="C6" s="3" t="s">
        <v>20</v>
      </c>
      <c r="D6" s="4" t="s">
        <v>21</v>
      </c>
      <c r="E6" s="3" t="s">
        <v>22</v>
      </c>
      <c r="F6" s="4" t="s">
        <v>23</v>
      </c>
      <c r="G6" s="3"/>
      <c r="H6" s="4" t="s">
        <v>24</v>
      </c>
    </row>
    <row r="7" spans="1:8" x14ac:dyDescent="0.55000000000000004">
      <c r="A7" s="4">
        <v>18</v>
      </c>
      <c r="B7" s="5" t="s">
        <v>25</v>
      </c>
      <c r="C7" s="5" t="s">
        <v>26</v>
      </c>
      <c r="D7" s="4" t="s">
        <v>13</v>
      </c>
      <c r="E7" s="5" t="s">
        <v>27</v>
      </c>
      <c r="F7" s="4" t="s">
        <v>28</v>
      </c>
      <c r="G7" s="5"/>
      <c r="H7" s="4" t="s">
        <v>29</v>
      </c>
    </row>
    <row r="8" spans="1:8" x14ac:dyDescent="0.55000000000000004">
      <c r="A8" s="4">
        <v>18</v>
      </c>
      <c r="B8" s="5" t="s">
        <v>30</v>
      </c>
      <c r="C8" s="5" t="s">
        <v>31</v>
      </c>
      <c r="D8" s="4" t="s">
        <v>21</v>
      </c>
      <c r="E8" s="5" t="s">
        <v>32</v>
      </c>
      <c r="F8" s="4" t="s">
        <v>28</v>
      </c>
      <c r="G8" s="5"/>
      <c r="H8" s="4" t="s">
        <v>29</v>
      </c>
    </row>
    <row r="9" spans="1:8" x14ac:dyDescent="0.55000000000000004">
      <c r="A9" s="4"/>
      <c r="B9" s="5" t="s">
        <v>33</v>
      </c>
      <c r="C9" s="5" t="s">
        <v>33</v>
      </c>
      <c r="D9" s="4" t="s">
        <v>21</v>
      </c>
      <c r="E9" s="5" t="s">
        <v>34</v>
      </c>
      <c r="F9" s="4" t="s">
        <v>23</v>
      </c>
      <c r="G9" s="5"/>
      <c r="H9" s="4" t="s">
        <v>35</v>
      </c>
    </row>
    <row r="10" spans="1:8" x14ac:dyDescent="0.55000000000000004">
      <c r="A10" s="4"/>
      <c r="B10" s="5" t="s">
        <v>36</v>
      </c>
      <c r="C10" s="5" t="s">
        <v>37</v>
      </c>
      <c r="D10" s="4" t="s">
        <v>13</v>
      </c>
      <c r="E10" s="5" t="s">
        <v>38</v>
      </c>
      <c r="F10" s="4" t="s">
        <v>39</v>
      </c>
      <c r="G10" s="5"/>
      <c r="H10" s="4" t="s">
        <v>39</v>
      </c>
    </row>
    <row r="11" spans="1:8" x14ac:dyDescent="0.55000000000000004">
      <c r="A11" s="4">
        <v>25</v>
      </c>
      <c r="B11" s="5" t="s">
        <v>40</v>
      </c>
      <c r="C11" s="5" t="s">
        <v>41</v>
      </c>
      <c r="D11" s="4" t="s">
        <v>42</v>
      </c>
      <c r="E11" s="5" t="s">
        <v>43</v>
      </c>
      <c r="F11" s="4" t="s">
        <v>28</v>
      </c>
      <c r="G11" s="5"/>
      <c r="H11" s="4" t="s">
        <v>44</v>
      </c>
    </row>
    <row r="12" spans="1:8" x14ac:dyDescent="0.55000000000000004">
      <c r="A12" s="4"/>
      <c r="B12" s="5" t="s">
        <v>45</v>
      </c>
      <c r="C12" s="5" t="s">
        <v>45</v>
      </c>
      <c r="D12" s="4" t="s">
        <v>46</v>
      </c>
      <c r="E12" s="5" t="s">
        <v>47</v>
      </c>
      <c r="F12" s="4"/>
      <c r="G12" s="5"/>
      <c r="H12" s="4" t="s">
        <v>24</v>
      </c>
    </row>
    <row r="13" spans="1:8" x14ac:dyDescent="0.55000000000000004">
      <c r="A13" s="4"/>
      <c r="B13" s="5" t="s">
        <v>48</v>
      </c>
      <c r="C13" s="5" t="s">
        <v>48</v>
      </c>
      <c r="D13" s="4" t="s">
        <v>49</v>
      </c>
      <c r="E13" s="5" t="s">
        <v>50</v>
      </c>
      <c r="F13" s="4"/>
      <c r="G13" s="5"/>
      <c r="H13" s="4"/>
    </row>
    <row r="14" spans="1:8" x14ac:dyDescent="0.55000000000000004">
      <c r="A14" s="4"/>
      <c r="B14" s="5" t="s">
        <v>51</v>
      </c>
      <c r="C14" s="5" t="s">
        <v>51</v>
      </c>
      <c r="D14" s="4" t="s">
        <v>13</v>
      </c>
      <c r="E14" s="5" t="s">
        <v>52</v>
      </c>
      <c r="F14" s="4" t="s">
        <v>23</v>
      </c>
      <c r="G14" s="5" t="s">
        <v>53</v>
      </c>
      <c r="H14" s="4" t="s">
        <v>24</v>
      </c>
    </row>
    <row r="15" spans="1:8" x14ac:dyDescent="0.55000000000000004">
      <c r="A15" s="4"/>
      <c r="B15" s="5" t="s">
        <v>54</v>
      </c>
      <c r="C15" s="5" t="s">
        <v>54</v>
      </c>
      <c r="D15" s="4" t="s">
        <v>13</v>
      </c>
      <c r="E15" s="5" t="s">
        <v>55</v>
      </c>
      <c r="F15" s="4"/>
      <c r="G15" s="5" t="s">
        <v>56</v>
      </c>
      <c r="H15" s="4" t="s">
        <v>57</v>
      </c>
    </row>
    <row r="16" spans="1:8" x14ac:dyDescent="0.55000000000000004">
      <c r="A16" s="4"/>
      <c r="B16" s="5" t="s">
        <v>58</v>
      </c>
      <c r="C16" s="5" t="s">
        <v>58</v>
      </c>
      <c r="D16" s="4" t="s">
        <v>21</v>
      </c>
      <c r="E16" s="5" t="s">
        <v>59</v>
      </c>
      <c r="F16" s="4" t="s">
        <v>39</v>
      </c>
      <c r="G16" s="5"/>
      <c r="H16" s="4" t="s">
        <v>39</v>
      </c>
    </row>
    <row r="17" spans="1:8" x14ac:dyDescent="0.55000000000000004">
      <c r="A17" s="4"/>
      <c r="B17" s="5" t="s">
        <v>60</v>
      </c>
      <c r="C17" s="5" t="s">
        <v>60</v>
      </c>
      <c r="D17" s="4" t="s">
        <v>13</v>
      </c>
      <c r="E17" s="5" t="s">
        <v>61</v>
      </c>
      <c r="F17" s="4" t="s">
        <v>62</v>
      </c>
      <c r="G17" s="5"/>
      <c r="H17" s="4" t="s">
        <v>24</v>
      </c>
    </row>
    <row r="18" spans="1:8" x14ac:dyDescent="0.55000000000000004">
      <c r="A18" s="4"/>
      <c r="B18" s="5" t="s">
        <v>63</v>
      </c>
      <c r="C18" s="5" t="s">
        <v>63</v>
      </c>
      <c r="D18" s="4" t="s">
        <v>13</v>
      </c>
      <c r="E18" s="5" t="s">
        <v>64</v>
      </c>
      <c r="F18" s="4"/>
      <c r="G18" s="5" t="s">
        <v>65</v>
      </c>
      <c r="H18" s="4" t="s">
        <v>24</v>
      </c>
    </row>
    <row r="19" spans="1:8" x14ac:dyDescent="0.55000000000000004">
      <c r="A19" s="4"/>
      <c r="B19" s="5" t="s">
        <v>66</v>
      </c>
      <c r="C19" s="5" t="s">
        <v>66</v>
      </c>
      <c r="D19" s="4" t="s">
        <v>21</v>
      </c>
      <c r="E19" s="5" t="s">
        <v>67</v>
      </c>
      <c r="F19" s="4" t="s">
        <v>68</v>
      </c>
      <c r="G19" s="5"/>
      <c r="H19" s="4" t="s">
        <v>24</v>
      </c>
    </row>
    <row r="20" spans="1:8" x14ac:dyDescent="0.55000000000000004">
      <c r="A20" s="4"/>
      <c r="B20" s="5" t="s">
        <v>69</v>
      </c>
      <c r="C20" s="5" t="s">
        <v>70</v>
      </c>
      <c r="D20" s="4" t="s">
        <v>13</v>
      </c>
      <c r="E20" s="5" t="s">
        <v>71</v>
      </c>
      <c r="F20" s="4" t="s">
        <v>72</v>
      </c>
      <c r="G20" s="5" t="s">
        <v>73</v>
      </c>
      <c r="H20" s="4" t="s">
        <v>74</v>
      </c>
    </row>
    <row r="21" spans="1:8" x14ac:dyDescent="0.55000000000000004">
      <c r="A21" s="4"/>
      <c r="B21" s="5" t="s">
        <v>75</v>
      </c>
      <c r="C21" s="5" t="s">
        <v>75</v>
      </c>
      <c r="D21" s="4" t="s">
        <v>13</v>
      </c>
      <c r="E21" s="5" t="s">
        <v>76</v>
      </c>
      <c r="F21" s="4" t="s">
        <v>23</v>
      </c>
      <c r="G21" s="5"/>
      <c r="H21" s="4"/>
    </row>
    <row r="22" spans="1:8" x14ac:dyDescent="0.55000000000000004">
      <c r="A22" s="4"/>
      <c r="B22" s="5" t="s">
        <v>77</v>
      </c>
      <c r="C22" s="5" t="s">
        <v>77</v>
      </c>
      <c r="D22" s="4" t="s">
        <v>13</v>
      </c>
      <c r="E22" s="5" t="s">
        <v>78</v>
      </c>
      <c r="F22" s="4" t="s">
        <v>39</v>
      </c>
      <c r="G22" s="5"/>
      <c r="H22" s="4" t="s">
        <v>39</v>
      </c>
    </row>
    <row r="23" spans="1:8" x14ac:dyDescent="0.55000000000000004">
      <c r="A23" s="4"/>
      <c r="B23" s="5" t="s">
        <v>79</v>
      </c>
      <c r="C23" s="5" t="s">
        <v>79</v>
      </c>
      <c r="D23" s="4" t="s">
        <v>21</v>
      </c>
      <c r="E23" s="5" t="s">
        <v>80</v>
      </c>
      <c r="F23" s="4" t="s">
        <v>23</v>
      </c>
      <c r="G23" s="5"/>
      <c r="H23" s="4"/>
    </row>
    <row r="24" spans="1:8" x14ac:dyDescent="0.55000000000000004">
      <c r="A24" s="4"/>
      <c r="B24" s="5" t="s">
        <v>81</v>
      </c>
      <c r="C24" s="5" t="s">
        <v>81</v>
      </c>
      <c r="D24" s="4" t="s">
        <v>13</v>
      </c>
      <c r="E24" s="5" t="s">
        <v>82</v>
      </c>
      <c r="F24" s="4" t="s">
        <v>83</v>
      </c>
      <c r="G24" s="5"/>
      <c r="H24" s="4" t="s">
        <v>24</v>
      </c>
    </row>
    <row r="25" spans="1:8" x14ac:dyDescent="0.55000000000000004">
      <c r="A25" s="4"/>
      <c r="B25" s="5" t="s">
        <v>84</v>
      </c>
      <c r="C25" s="5" t="s">
        <v>84</v>
      </c>
      <c r="D25" s="4" t="s">
        <v>21</v>
      </c>
      <c r="E25" s="5" t="s">
        <v>85</v>
      </c>
      <c r="F25" s="4"/>
      <c r="G25" s="5" t="s">
        <v>86</v>
      </c>
      <c r="H25" s="4"/>
    </row>
    <row r="26" spans="1:8" x14ac:dyDescent="0.55000000000000004">
      <c r="A26" s="4"/>
      <c r="B26" s="5" t="s">
        <v>87</v>
      </c>
      <c r="C26" s="5" t="s">
        <v>87</v>
      </c>
      <c r="D26" s="4" t="s">
        <v>21</v>
      </c>
      <c r="E26" s="5" t="s">
        <v>88</v>
      </c>
      <c r="F26" s="4"/>
      <c r="G26" s="5" t="s">
        <v>89</v>
      </c>
      <c r="H26" s="4" t="s">
        <v>24</v>
      </c>
    </row>
    <row r="27" spans="1:8" x14ac:dyDescent="0.55000000000000004">
      <c r="A27" s="4"/>
      <c r="B27" s="5" t="s">
        <v>90</v>
      </c>
      <c r="C27" s="5" t="s">
        <v>90</v>
      </c>
      <c r="D27" s="4" t="s">
        <v>13</v>
      </c>
      <c r="E27" s="5" t="s">
        <v>91</v>
      </c>
      <c r="F27" s="4" t="s">
        <v>92</v>
      </c>
      <c r="G27" s="5"/>
      <c r="H27" s="4" t="s">
        <v>24</v>
      </c>
    </row>
    <row r="28" spans="1:8" x14ac:dyDescent="0.55000000000000004">
      <c r="A28" s="4"/>
      <c r="B28" s="5" t="s">
        <v>93</v>
      </c>
      <c r="C28" s="5" t="s">
        <v>93</v>
      </c>
      <c r="D28" s="4" t="s">
        <v>13</v>
      </c>
      <c r="E28" s="5" t="s">
        <v>94</v>
      </c>
      <c r="F28" s="4" t="s">
        <v>95</v>
      </c>
      <c r="G28" s="5"/>
      <c r="H28" s="4" t="s">
        <v>24</v>
      </c>
    </row>
    <row r="29" spans="1:8" x14ac:dyDescent="0.55000000000000004">
      <c r="A29" s="4"/>
      <c r="B29" s="5" t="s">
        <v>96</v>
      </c>
      <c r="C29" s="5" t="s">
        <v>96</v>
      </c>
      <c r="D29" s="4" t="s">
        <v>13</v>
      </c>
      <c r="E29" s="5" t="s">
        <v>97</v>
      </c>
      <c r="F29" s="4" t="s">
        <v>98</v>
      </c>
      <c r="G29" s="5"/>
      <c r="H29" s="4" t="s">
        <v>99</v>
      </c>
    </row>
    <row r="30" spans="1:8" x14ac:dyDescent="0.55000000000000004">
      <c r="A30" s="4"/>
      <c r="B30" s="5" t="s">
        <v>100</v>
      </c>
      <c r="C30" s="5" t="s">
        <v>100</v>
      </c>
      <c r="D30" s="4" t="s">
        <v>13</v>
      </c>
      <c r="E30" s="5" t="s">
        <v>101</v>
      </c>
      <c r="F30" s="4" t="s">
        <v>102</v>
      </c>
      <c r="G30" s="5"/>
      <c r="H30" s="4" t="s">
        <v>99</v>
      </c>
    </row>
    <row r="31" spans="1:8" x14ac:dyDescent="0.55000000000000004">
      <c r="A31" s="4"/>
      <c r="B31" s="5" t="s">
        <v>103</v>
      </c>
      <c r="C31" s="5" t="s">
        <v>103</v>
      </c>
      <c r="D31" s="4" t="s">
        <v>10</v>
      </c>
      <c r="E31" s="5" t="s">
        <v>103</v>
      </c>
      <c r="F31" s="3" t="s">
        <v>104</v>
      </c>
      <c r="G31" s="5"/>
      <c r="H31" s="4" t="s">
        <v>24</v>
      </c>
    </row>
    <row r="32" spans="1:8" x14ac:dyDescent="0.55000000000000004">
      <c r="A32" s="4"/>
      <c r="B32" s="5" t="s">
        <v>105</v>
      </c>
      <c r="C32" s="5" t="s">
        <v>105</v>
      </c>
      <c r="D32" s="4" t="s">
        <v>21</v>
      </c>
      <c r="E32" s="5" t="s">
        <v>106</v>
      </c>
      <c r="F32" s="3" t="s">
        <v>107</v>
      </c>
      <c r="G32" s="5"/>
      <c r="H32" s="4" t="s">
        <v>24</v>
      </c>
    </row>
    <row r="33" spans="1:8" x14ac:dyDescent="0.55000000000000004">
      <c r="A33" s="4"/>
      <c r="B33" s="5" t="s">
        <v>108</v>
      </c>
      <c r="C33" s="5" t="s">
        <v>108</v>
      </c>
      <c r="D33" s="4" t="s">
        <v>13</v>
      </c>
      <c r="E33" s="5" t="s">
        <v>109</v>
      </c>
      <c r="F33" s="4" t="s">
        <v>92</v>
      </c>
      <c r="G33" s="5"/>
      <c r="H33" s="4" t="s">
        <v>35</v>
      </c>
    </row>
    <row r="34" spans="1:8" x14ac:dyDescent="0.55000000000000004">
      <c r="A34" s="4"/>
      <c r="B34" s="5" t="s">
        <v>110</v>
      </c>
      <c r="C34" s="5" t="s">
        <v>110</v>
      </c>
      <c r="D34" s="4" t="s">
        <v>111</v>
      </c>
      <c r="E34" s="5" t="s">
        <v>112</v>
      </c>
      <c r="F34" s="4" t="s">
        <v>113</v>
      </c>
      <c r="G34" s="5"/>
      <c r="H34" s="4" t="s">
        <v>24</v>
      </c>
    </row>
    <row r="35" spans="1:8" x14ac:dyDescent="0.55000000000000004">
      <c r="A35" s="4"/>
      <c r="B35" s="5" t="s">
        <v>114</v>
      </c>
      <c r="C35" s="5" t="s">
        <v>115</v>
      </c>
      <c r="D35" s="4" t="s">
        <v>10</v>
      </c>
      <c r="E35" s="5" t="s">
        <v>115</v>
      </c>
      <c r="F35" s="4" t="s">
        <v>116</v>
      </c>
      <c r="G35" s="5" t="s">
        <v>117</v>
      </c>
      <c r="H35" s="4" t="s">
        <v>114</v>
      </c>
    </row>
    <row r="36" spans="1:8" x14ac:dyDescent="0.55000000000000004">
      <c r="A36" s="4">
        <v>40</v>
      </c>
      <c r="B36" s="5" t="s">
        <v>118</v>
      </c>
      <c r="C36" s="5" t="s">
        <v>119</v>
      </c>
      <c r="D36" s="4" t="s">
        <v>21</v>
      </c>
      <c r="E36" s="5" t="s">
        <v>120</v>
      </c>
      <c r="F36" s="4" t="s">
        <v>28</v>
      </c>
      <c r="G36" s="5"/>
      <c r="H36" s="4" t="s">
        <v>121</v>
      </c>
    </row>
    <row r="37" spans="1:8" x14ac:dyDescent="0.55000000000000004">
      <c r="A37" s="4">
        <v>49</v>
      </c>
      <c r="B37" s="5" t="s">
        <v>122</v>
      </c>
      <c r="C37" s="5" t="s">
        <v>123</v>
      </c>
      <c r="D37" s="4" t="s">
        <v>21</v>
      </c>
      <c r="E37" s="5" t="s">
        <v>124</v>
      </c>
      <c r="F37" s="4" t="s">
        <v>28</v>
      </c>
      <c r="G37" s="5"/>
      <c r="H37" s="4" t="s">
        <v>125</v>
      </c>
    </row>
    <row r="38" spans="1:8" x14ac:dyDescent="0.55000000000000004">
      <c r="A38" s="4"/>
      <c r="B38" s="5" t="s">
        <v>126</v>
      </c>
      <c r="C38" s="5" t="s">
        <v>126</v>
      </c>
      <c r="D38" s="4" t="s">
        <v>21</v>
      </c>
      <c r="E38" s="5" t="s">
        <v>127</v>
      </c>
      <c r="F38" s="4" t="s">
        <v>128</v>
      </c>
      <c r="G38" s="5" t="s">
        <v>129</v>
      </c>
      <c r="H38" s="4" t="s">
        <v>24</v>
      </c>
    </row>
    <row r="39" spans="1:8" x14ac:dyDescent="0.55000000000000004">
      <c r="A39" s="4"/>
      <c r="B39" s="5" t="s">
        <v>130</v>
      </c>
      <c r="C39" s="5" t="s">
        <v>131</v>
      </c>
      <c r="D39" s="4" t="s">
        <v>132</v>
      </c>
      <c r="E39" s="5" t="s">
        <v>133</v>
      </c>
      <c r="F39" s="4" t="s">
        <v>134</v>
      </c>
      <c r="G39" s="5"/>
      <c r="H39" s="4" t="s">
        <v>135</v>
      </c>
    </row>
    <row r="40" spans="1:8" x14ac:dyDescent="0.55000000000000004">
      <c r="A40" s="4"/>
      <c r="B40" s="5" t="s">
        <v>136</v>
      </c>
      <c r="C40" s="5" t="s">
        <v>137</v>
      </c>
      <c r="D40" s="4" t="s">
        <v>42</v>
      </c>
      <c r="E40" s="5" t="s">
        <v>138</v>
      </c>
      <c r="F40" s="4" t="s">
        <v>134</v>
      </c>
      <c r="G40" s="5" t="s">
        <v>139</v>
      </c>
      <c r="H40" s="4" t="s">
        <v>135</v>
      </c>
    </row>
    <row r="41" spans="1:8" x14ac:dyDescent="0.55000000000000004">
      <c r="A41" s="4"/>
      <c r="B41" s="5" t="s">
        <v>140</v>
      </c>
      <c r="C41" s="5" t="s">
        <v>140</v>
      </c>
      <c r="D41" s="4" t="s">
        <v>132</v>
      </c>
      <c r="E41" s="5" t="s">
        <v>141</v>
      </c>
      <c r="F41" s="4" t="s">
        <v>142</v>
      </c>
      <c r="G41" s="5" t="s">
        <v>143</v>
      </c>
      <c r="H41" s="4" t="s">
        <v>144</v>
      </c>
    </row>
    <row r="42" spans="1:8" x14ac:dyDescent="0.55000000000000004">
      <c r="A42" s="4"/>
      <c r="B42" s="5" t="s">
        <v>145</v>
      </c>
      <c r="C42" s="5" t="s">
        <v>146</v>
      </c>
      <c r="D42" s="4" t="s">
        <v>132</v>
      </c>
      <c r="E42" s="5" t="s">
        <v>147</v>
      </c>
      <c r="F42" s="4" t="s">
        <v>142</v>
      </c>
      <c r="G42" s="5" t="s">
        <v>143</v>
      </c>
      <c r="H42" s="4" t="s">
        <v>144</v>
      </c>
    </row>
    <row r="43" spans="1:8" x14ac:dyDescent="0.55000000000000004">
      <c r="A43" s="4">
        <v>20</v>
      </c>
      <c r="B43" s="5" t="s">
        <v>148</v>
      </c>
      <c r="C43" s="5" t="s">
        <v>149</v>
      </c>
      <c r="D43" s="4" t="s">
        <v>13</v>
      </c>
      <c r="E43" s="5" t="s">
        <v>150</v>
      </c>
      <c r="F43" s="4" t="s">
        <v>28</v>
      </c>
      <c r="G43" s="5"/>
      <c r="H43" s="4" t="s">
        <v>151</v>
      </c>
    </row>
    <row r="44" spans="1:8" x14ac:dyDescent="0.55000000000000004">
      <c r="A44" s="4"/>
      <c r="B44" s="5" t="s">
        <v>152</v>
      </c>
      <c r="C44" s="5" t="s">
        <v>153</v>
      </c>
      <c r="D44" s="4" t="s">
        <v>132</v>
      </c>
      <c r="E44" s="5" t="s">
        <v>154</v>
      </c>
      <c r="F44" s="4" t="s">
        <v>39</v>
      </c>
      <c r="G44" s="5"/>
      <c r="H44" s="4" t="s">
        <v>39</v>
      </c>
    </row>
    <row r="45" spans="1:8" x14ac:dyDescent="0.55000000000000004">
      <c r="A45" s="4"/>
      <c r="B45" s="5" t="s">
        <v>155</v>
      </c>
      <c r="C45" s="5" t="s">
        <v>155</v>
      </c>
      <c r="D45" s="4" t="s">
        <v>21</v>
      </c>
      <c r="E45" s="5" t="s">
        <v>156</v>
      </c>
      <c r="F45" s="4" t="s">
        <v>39</v>
      </c>
      <c r="G45" s="5"/>
      <c r="H45" s="4" t="s">
        <v>39</v>
      </c>
    </row>
    <row r="46" spans="1:8" x14ac:dyDescent="0.55000000000000004">
      <c r="A46" s="4"/>
      <c r="B46" s="5" t="s">
        <v>157</v>
      </c>
      <c r="C46" s="5" t="s">
        <v>157</v>
      </c>
      <c r="D46" s="4" t="s">
        <v>158</v>
      </c>
      <c r="E46" s="5" t="s">
        <v>158</v>
      </c>
      <c r="F46" s="4"/>
      <c r="G46" s="5"/>
      <c r="H46" s="4" t="s">
        <v>24</v>
      </c>
    </row>
    <row r="47" spans="1:8" x14ac:dyDescent="0.55000000000000004">
      <c r="A47" s="4"/>
      <c r="B47" s="5" t="s">
        <v>159</v>
      </c>
      <c r="C47" s="5" t="s">
        <v>160</v>
      </c>
      <c r="D47" s="4" t="s">
        <v>161</v>
      </c>
      <c r="E47" s="5" t="s">
        <v>162</v>
      </c>
      <c r="F47" s="4" t="s">
        <v>39</v>
      </c>
      <c r="G47" s="5"/>
      <c r="H47" s="4" t="s">
        <v>39</v>
      </c>
    </row>
    <row r="48" spans="1:8" x14ac:dyDescent="0.55000000000000004">
      <c r="A48" s="4"/>
      <c r="B48" s="5" t="s">
        <v>163</v>
      </c>
      <c r="C48" s="5" t="s">
        <v>164</v>
      </c>
      <c r="D48" s="4" t="s">
        <v>13</v>
      </c>
      <c r="E48" s="5" t="s">
        <v>165</v>
      </c>
      <c r="F48" s="4" t="s">
        <v>39</v>
      </c>
      <c r="G48" s="5"/>
      <c r="H48" s="4" t="s">
        <v>39</v>
      </c>
    </row>
    <row r="49" spans="1:9" x14ac:dyDescent="0.55000000000000004">
      <c r="A49" s="4"/>
      <c r="B49" s="5" t="s">
        <v>166</v>
      </c>
      <c r="C49" s="5" t="s">
        <v>166</v>
      </c>
      <c r="D49" s="4" t="s">
        <v>46</v>
      </c>
      <c r="E49" s="5" t="s">
        <v>167</v>
      </c>
      <c r="F49" s="4" t="s">
        <v>168</v>
      </c>
      <c r="G49" s="5"/>
      <c r="H49" s="4"/>
    </row>
    <row r="50" spans="1:9" x14ac:dyDescent="0.55000000000000004">
      <c r="A50" s="4">
        <v>49</v>
      </c>
      <c r="B50" s="5" t="s">
        <v>169</v>
      </c>
      <c r="C50" s="5" t="s">
        <v>123</v>
      </c>
      <c r="D50" s="4" t="s">
        <v>21</v>
      </c>
      <c r="E50" s="5" t="s">
        <v>124</v>
      </c>
      <c r="F50" s="4" t="s">
        <v>28</v>
      </c>
      <c r="G50" s="5"/>
      <c r="H50" s="4" t="s">
        <v>125</v>
      </c>
      <c r="I50" s="2" t="s">
        <v>170</v>
      </c>
    </row>
    <row r="51" spans="1:9" x14ac:dyDescent="0.55000000000000004">
      <c r="A51" s="4"/>
      <c r="B51" s="5" t="s">
        <v>171</v>
      </c>
      <c r="C51" s="5" t="s">
        <v>172</v>
      </c>
      <c r="D51" s="4" t="s">
        <v>158</v>
      </c>
      <c r="E51" s="5" t="s">
        <v>158</v>
      </c>
      <c r="F51" s="4" t="s">
        <v>116</v>
      </c>
      <c r="G51" s="5"/>
      <c r="H51" s="4"/>
    </row>
    <row r="52" spans="1:9" x14ac:dyDescent="0.55000000000000004">
      <c r="A52" s="4"/>
      <c r="B52" s="5" t="s">
        <v>173</v>
      </c>
      <c r="C52" s="5" t="s">
        <v>173</v>
      </c>
      <c r="D52" s="4" t="b">
        <v>1</v>
      </c>
      <c r="E52" s="4">
        <v>23777714</v>
      </c>
      <c r="F52" s="4" t="s">
        <v>116</v>
      </c>
      <c r="G52" s="5" t="s">
        <v>174</v>
      </c>
      <c r="H52" s="4"/>
    </row>
    <row r="53" spans="1:9" x14ac:dyDescent="0.55000000000000004">
      <c r="A53" s="4">
        <v>16</v>
      </c>
      <c r="B53" s="5" t="s">
        <v>175</v>
      </c>
      <c r="C53" s="5" t="s">
        <v>176</v>
      </c>
      <c r="D53" s="4" t="s">
        <v>21</v>
      </c>
      <c r="E53" s="5" t="s">
        <v>177</v>
      </c>
      <c r="F53" s="4" t="s">
        <v>28</v>
      </c>
      <c r="G53" s="5"/>
      <c r="H53" s="4" t="s">
        <v>178</v>
      </c>
    </row>
    <row r="54" spans="1:9" x14ac:dyDescent="0.55000000000000004">
      <c r="A54" s="4">
        <v>16</v>
      </c>
      <c r="B54" s="5" t="s">
        <v>179</v>
      </c>
      <c r="C54" s="5" t="s">
        <v>175</v>
      </c>
      <c r="D54" s="4" t="s">
        <v>132</v>
      </c>
      <c r="E54" s="5" t="s">
        <v>180</v>
      </c>
      <c r="F54" s="4" t="s">
        <v>28</v>
      </c>
      <c r="G54" s="5"/>
      <c r="H54" s="4" t="s">
        <v>178</v>
      </c>
      <c r="I54" s="2" t="s">
        <v>181</v>
      </c>
    </row>
    <row r="55" spans="1:9" x14ac:dyDescent="0.55000000000000004">
      <c r="A55" s="4"/>
      <c r="B55" s="5" t="s">
        <v>182</v>
      </c>
      <c r="C55" s="5" t="s">
        <v>182</v>
      </c>
      <c r="D55" s="4" t="s">
        <v>132</v>
      </c>
      <c r="E55" s="5" t="s">
        <v>183</v>
      </c>
      <c r="F55" s="4" t="s">
        <v>92</v>
      </c>
      <c r="G55" s="5"/>
      <c r="H55" s="4"/>
    </row>
    <row r="56" spans="1:9" x14ac:dyDescent="0.55000000000000004">
      <c r="A56" s="4"/>
      <c r="B56" s="5" t="s">
        <v>184</v>
      </c>
      <c r="C56" s="5" t="s">
        <v>185</v>
      </c>
      <c r="D56" s="4" t="s">
        <v>21</v>
      </c>
      <c r="E56" s="5" t="s">
        <v>186</v>
      </c>
      <c r="F56" s="4" t="s">
        <v>187</v>
      </c>
      <c r="G56" s="5" t="s">
        <v>187</v>
      </c>
      <c r="H56" s="4" t="s">
        <v>44</v>
      </c>
    </row>
    <row r="57" spans="1:9" x14ac:dyDescent="0.55000000000000004">
      <c r="A57" s="4"/>
      <c r="B57" s="6" t="s">
        <v>188</v>
      </c>
      <c r="C57" s="6" t="s">
        <v>189</v>
      </c>
      <c r="D57" s="7" t="s">
        <v>46</v>
      </c>
      <c r="E57" s="6" t="s">
        <v>190</v>
      </c>
      <c r="F57" s="7" t="s">
        <v>191</v>
      </c>
      <c r="G57" s="6"/>
      <c r="H57" s="7" t="s">
        <v>192</v>
      </c>
    </row>
    <row r="58" spans="1:9" x14ac:dyDescent="0.55000000000000004">
      <c r="A58" s="4"/>
      <c r="B58" s="6" t="s">
        <v>193</v>
      </c>
      <c r="C58" s="6" t="s">
        <v>194</v>
      </c>
      <c r="D58" s="7" t="s">
        <v>21</v>
      </c>
      <c r="E58" s="6" t="s">
        <v>195</v>
      </c>
      <c r="F58" s="7" t="s">
        <v>191</v>
      </c>
      <c r="G58" s="6"/>
      <c r="H58" s="7" t="s">
        <v>192</v>
      </c>
    </row>
    <row r="59" spans="1:9" x14ac:dyDescent="0.55000000000000004">
      <c r="A59" s="4"/>
      <c r="B59" s="5" t="s">
        <v>196</v>
      </c>
      <c r="C59" s="5" t="s">
        <v>196</v>
      </c>
      <c r="D59" s="4" t="s">
        <v>158</v>
      </c>
      <c r="E59" s="5" t="s">
        <v>158</v>
      </c>
      <c r="F59" s="4"/>
      <c r="G59" s="5"/>
      <c r="H59" s="4"/>
    </row>
    <row r="60" spans="1:9" x14ac:dyDescent="0.55000000000000004">
      <c r="A60" s="4"/>
      <c r="B60" s="5" t="s">
        <v>197</v>
      </c>
      <c r="C60" s="5" t="s">
        <v>198</v>
      </c>
      <c r="D60" s="4" t="s">
        <v>21</v>
      </c>
      <c r="E60" s="5" t="s">
        <v>199</v>
      </c>
      <c r="F60" s="4" t="s">
        <v>39</v>
      </c>
      <c r="G60" s="5"/>
      <c r="H60" s="4" t="s">
        <v>39</v>
      </c>
    </row>
    <row r="61" spans="1:9" x14ac:dyDescent="0.55000000000000004">
      <c r="A61" s="4"/>
      <c r="B61" s="5" t="s">
        <v>200</v>
      </c>
      <c r="C61" s="5" t="s">
        <v>200</v>
      </c>
      <c r="D61" s="4" t="s">
        <v>132</v>
      </c>
      <c r="E61" s="5" t="s">
        <v>201</v>
      </c>
      <c r="F61" s="4"/>
      <c r="G61" s="5"/>
      <c r="H61" s="4" t="s">
        <v>151</v>
      </c>
    </row>
    <row r="62" spans="1:9" x14ac:dyDescent="0.55000000000000004">
      <c r="A62" s="4">
        <v>70</v>
      </c>
      <c r="B62" s="5" t="s">
        <v>202</v>
      </c>
      <c r="C62" s="5" t="s">
        <v>203</v>
      </c>
      <c r="D62" s="4" t="s">
        <v>21</v>
      </c>
      <c r="E62" s="5" t="s">
        <v>204</v>
      </c>
      <c r="F62" s="4" t="s">
        <v>28</v>
      </c>
      <c r="G62" s="5"/>
      <c r="H62" s="4" t="s">
        <v>24</v>
      </c>
    </row>
    <row r="63" spans="1:9" x14ac:dyDescent="0.55000000000000004">
      <c r="A63" s="4">
        <v>22</v>
      </c>
      <c r="B63" s="5" t="s">
        <v>205</v>
      </c>
      <c r="C63" s="5" t="s">
        <v>206</v>
      </c>
      <c r="D63" s="4" t="s">
        <v>42</v>
      </c>
      <c r="E63" s="5" t="s">
        <v>207</v>
      </c>
      <c r="F63" s="4" t="s">
        <v>28</v>
      </c>
      <c r="G63" s="5" t="s">
        <v>208</v>
      </c>
      <c r="H63" s="4" t="s">
        <v>209</v>
      </c>
    </row>
    <row r="64" spans="1:9" x14ac:dyDescent="0.55000000000000004">
      <c r="A64" s="4">
        <v>22</v>
      </c>
      <c r="B64" s="6" t="s">
        <v>210</v>
      </c>
      <c r="C64" s="6" t="s">
        <v>210</v>
      </c>
      <c r="D64" s="7" t="s">
        <v>13</v>
      </c>
      <c r="E64" s="6" t="s">
        <v>211</v>
      </c>
      <c r="F64" s="7" t="s">
        <v>28</v>
      </c>
      <c r="G64" s="6" t="s">
        <v>212</v>
      </c>
      <c r="H64" s="7" t="s">
        <v>209</v>
      </c>
    </row>
    <row r="65" spans="1:8" x14ac:dyDescent="0.55000000000000004">
      <c r="A65" s="4">
        <v>22</v>
      </c>
      <c r="B65" s="6" t="s">
        <v>213</v>
      </c>
      <c r="C65" s="6" t="s">
        <v>214</v>
      </c>
      <c r="D65" s="7" t="s">
        <v>42</v>
      </c>
      <c r="E65" s="6" t="s">
        <v>215</v>
      </c>
      <c r="F65" s="7" t="s">
        <v>28</v>
      </c>
      <c r="G65" s="6"/>
      <c r="H65" s="7" t="s">
        <v>209</v>
      </c>
    </row>
    <row r="66" spans="1:8" x14ac:dyDescent="0.55000000000000004">
      <c r="A66" s="4">
        <v>22</v>
      </c>
      <c r="B66" s="5" t="s">
        <v>216</v>
      </c>
      <c r="C66" s="5" t="s">
        <v>217</v>
      </c>
      <c r="D66" s="4" t="s">
        <v>21</v>
      </c>
      <c r="E66" s="5" t="s">
        <v>218</v>
      </c>
      <c r="F66" s="4" t="s">
        <v>28</v>
      </c>
      <c r="G66" s="5"/>
      <c r="H66" s="4" t="s">
        <v>209</v>
      </c>
    </row>
    <row r="67" spans="1:8" x14ac:dyDescent="0.55000000000000004">
      <c r="A67" s="4">
        <v>21</v>
      </c>
      <c r="B67" s="5" t="s">
        <v>219</v>
      </c>
      <c r="C67" s="5" t="s">
        <v>220</v>
      </c>
      <c r="D67" s="4" t="s">
        <v>132</v>
      </c>
      <c r="E67" s="5" t="s">
        <v>221</v>
      </c>
      <c r="F67" s="4" t="s">
        <v>28</v>
      </c>
      <c r="G67" s="5" t="s">
        <v>222</v>
      </c>
      <c r="H67" s="4" t="s">
        <v>151</v>
      </c>
    </row>
    <row r="68" spans="1:8" x14ac:dyDescent="0.55000000000000004">
      <c r="A68" s="4">
        <v>27</v>
      </c>
      <c r="B68" s="5" t="s">
        <v>223</v>
      </c>
      <c r="C68" s="5" t="s">
        <v>224</v>
      </c>
      <c r="D68" s="4" t="s">
        <v>21</v>
      </c>
      <c r="E68" s="5" t="s">
        <v>225</v>
      </c>
      <c r="F68" s="4" t="s">
        <v>28</v>
      </c>
      <c r="G68" s="8" t="s">
        <v>226</v>
      </c>
      <c r="H68" s="4" t="s">
        <v>227</v>
      </c>
    </row>
    <row r="69" spans="1:8" x14ac:dyDescent="0.55000000000000004">
      <c r="A69" s="4"/>
      <c r="B69" s="5" t="s">
        <v>228</v>
      </c>
      <c r="C69" s="5" t="s">
        <v>137</v>
      </c>
      <c r="D69" s="4" t="s">
        <v>13</v>
      </c>
      <c r="E69" s="5" t="s">
        <v>229</v>
      </c>
      <c r="F69" s="4"/>
      <c r="G69" s="8"/>
      <c r="H69" s="4"/>
    </row>
    <row r="70" spans="1:8" x14ac:dyDescent="0.55000000000000004">
      <c r="A70" s="4"/>
      <c r="B70" s="5" t="s">
        <v>230</v>
      </c>
      <c r="C70" s="5" t="s">
        <v>231</v>
      </c>
      <c r="D70" s="4" t="s">
        <v>42</v>
      </c>
      <c r="E70" s="5" t="s">
        <v>232</v>
      </c>
      <c r="F70" s="4"/>
      <c r="G70" s="8"/>
      <c r="H70" s="4"/>
    </row>
    <row r="71" spans="1:8" x14ac:dyDescent="0.55000000000000004">
      <c r="A71" s="4"/>
      <c r="B71" s="5" t="s">
        <v>233</v>
      </c>
      <c r="C71" s="5" t="s">
        <v>234</v>
      </c>
      <c r="D71" s="4" t="s">
        <v>21</v>
      </c>
      <c r="E71" s="5" t="s">
        <v>235</v>
      </c>
      <c r="F71" s="4"/>
      <c r="G71" s="8" t="s">
        <v>236</v>
      </c>
      <c r="H71" s="4" t="s">
        <v>237</v>
      </c>
    </row>
    <row r="72" spans="1:8" x14ac:dyDescent="0.55000000000000004">
      <c r="A72" s="4"/>
      <c r="B72" s="5" t="s">
        <v>57</v>
      </c>
      <c r="C72" s="5" t="s">
        <v>238</v>
      </c>
      <c r="D72" s="4" t="s">
        <v>13</v>
      </c>
      <c r="E72" s="5" t="s">
        <v>239</v>
      </c>
      <c r="F72" s="4" t="s">
        <v>240</v>
      </c>
      <c r="G72" s="5"/>
      <c r="H72" s="4" t="s">
        <v>57</v>
      </c>
    </row>
    <row r="73" spans="1:8" x14ac:dyDescent="0.55000000000000004">
      <c r="A73" s="4"/>
      <c r="B73" s="5" t="s">
        <v>241</v>
      </c>
      <c r="C73" s="5" t="s">
        <v>242</v>
      </c>
      <c r="D73" s="4" t="s">
        <v>13</v>
      </c>
      <c r="E73" s="5" t="s">
        <v>243</v>
      </c>
      <c r="F73" s="4" t="s">
        <v>240</v>
      </c>
      <c r="G73" s="5" t="s">
        <v>244</v>
      </c>
      <c r="H73" s="4" t="s">
        <v>57</v>
      </c>
    </row>
    <row r="74" spans="1:8" ht="24.4" customHeight="1" x14ac:dyDescent="0.55000000000000004">
      <c r="A74" s="4"/>
      <c r="B74" s="5" t="s">
        <v>245</v>
      </c>
      <c r="C74" s="5" t="s">
        <v>238</v>
      </c>
      <c r="D74" s="4" t="s">
        <v>13</v>
      </c>
      <c r="E74" s="5" t="s">
        <v>246</v>
      </c>
      <c r="F74" s="4" t="s">
        <v>240</v>
      </c>
      <c r="G74" s="5" t="s">
        <v>247</v>
      </c>
      <c r="H74" s="4" t="s">
        <v>57</v>
      </c>
    </row>
    <row r="75" spans="1:8" ht="24.4" customHeight="1" x14ac:dyDescent="0.55000000000000004">
      <c r="A75" s="4"/>
      <c r="B75" s="5" t="s">
        <v>248</v>
      </c>
      <c r="C75" s="5" t="s">
        <v>249</v>
      </c>
      <c r="D75" s="4" t="s">
        <v>21</v>
      </c>
      <c r="E75" s="5" t="s">
        <v>250</v>
      </c>
      <c r="F75" s="4" t="s">
        <v>251</v>
      </c>
      <c r="G75" s="5" t="s">
        <v>252</v>
      </c>
      <c r="H75" s="4" t="s">
        <v>248</v>
      </c>
    </row>
    <row r="76" spans="1:8" ht="24.4" customHeight="1" x14ac:dyDescent="0.55000000000000004">
      <c r="A76" s="4"/>
      <c r="B76" s="5" t="s">
        <v>253</v>
      </c>
      <c r="C76" s="5" t="s">
        <v>254</v>
      </c>
      <c r="D76" s="4" t="s">
        <v>21</v>
      </c>
      <c r="E76" s="5" t="s">
        <v>255</v>
      </c>
      <c r="F76" s="4"/>
      <c r="G76" s="5"/>
      <c r="H76" s="4" t="s">
        <v>57</v>
      </c>
    </row>
    <row r="77" spans="1:8" x14ac:dyDescent="0.55000000000000004">
      <c r="A77" s="4"/>
      <c r="B77" s="5" t="s">
        <v>256</v>
      </c>
      <c r="C77" s="5" t="s">
        <v>257</v>
      </c>
      <c r="D77" s="4" t="s">
        <v>13</v>
      </c>
      <c r="E77" s="5" t="s">
        <v>258</v>
      </c>
      <c r="F77" s="4" t="s">
        <v>251</v>
      </c>
      <c r="G77" s="5"/>
      <c r="H77" s="4" t="s">
        <v>259</v>
      </c>
    </row>
    <row r="78" spans="1:8" x14ac:dyDescent="0.55000000000000004">
      <c r="A78" s="4"/>
      <c r="B78" s="5" t="s">
        <v>260</v>
      </c>
      <c r="C78" s="5" t="s">
        <v>12</v>
      </c>
      <c r="D78" s="4" t="s">
        <v>21</v>
      </c>
      <c r="E78" s="5" t="s">
        <v>261</v>
      </c>
      <c r="F78" s="4" t="s">
        <v>251</v>
      </c>
      <c r="G78" s="5"/>
      <c r="H78" s="4" t="s">
        <v>259</v>
      </c>
    </row>
    <row r="79" spans="1:8" x14ac:dyDescent="0.55000000000000004">
      <c r="A79" s="4"/>
      <c r="B79" s="5" t="s">
        <v>262</v>
      </c>
      <c r="C79" s="5" t="s">
        <v>263</v>
      </c>
      <c r="D79" s="4" t="s">
        <v>46</v>
      </c>
      <c r="E79" s="5" t="s">
        <v>264</v>
      </c>
      <c r="F79" s="4" t="s">
        <v>251</v>
      </c>
      <c r="G79" s="5" t="s">
        <v>265</v>
      </c>
      <c r="H79" s="4" t="s">
        <v>24</v>
      </c>
    </row>
    <row r="80" spans="1:8" x14ac:dyDescent="0.55000000000000004">
      <c r="A80" s="4"/>
      <c r="B80" s="5" t="s">
        <v>266</v>
      </c>
      <c r="C80" s="5" t="s">
        <v>267</v>
      </c>
      <c r="D80" s="4" t="s">
        <v>21</v>
      </c>
      <c r="E80" s="5" t="s">
        <v>268</v>
      </c>
      <c r="F80" s="4"/>
      <c r="G80" s="5" t="s">
        <v>269</v>
      </c>
      <c r="H80" s="4" t="s">
        <v>24</v>
      </c>
    </row>
    <row r="81" spans="1:8" x14ac:dyDescent="0.55000000000000004">
      <c r="A81" s="4"/>
      <c r="B81" s="5" t="s">
        <v>270</v>
      </c>
      <c r="C81" s="5" t="s">
        <v>271</v>
      </c>
      <c r="D81" s="4" t="s">
        <v>21</v>
      </c>
      <c r="E81" s="5" t="s">
        <v>272</v>
      </c>
      <c r="F81" s="4" t="s">
        <v>191</v>
      </c>
      <c r="G81" s="5"/>
      <c r="H81" s="4" t="s">
        <v>273</v>
      </c>
    </row>
    <row r="82" spans="1:8" x14ac:dyDescent="0.55000000000000004">
      <c r="A82" s="4"/>
      <c r="B82" s="5" t="s">
        <v>274</v>
      </c>
      <c r="C82" s="5" t="s">
        <v>275</v>
      </c>
      <c r="D82" s="4" t="s">
        <v>21</v>
      </c>
      <c r="E82" s="5" t="s">
        <v>276</v>
      </c>
      <c r="F82" s="4" t="s">
        <v>277</v>
      </c>
      <c r="G82" s="5" t="s">
        <v>278</v>
      </c>
      <c r="H82" s="4" t="s">
        <v>279</v>
      </c>
    </row>
    <row r="83" spans="1:8" x14ac:dyDescent="0.55000000000000004">
      <c r="A83" s="4"/>
      <c r="B83" s="5" t="s">
        <v>280</v>
      </c>
      <c r="C83" s="5" t="s">
        <v>281</v>
      </c>
      <c r="D83" s="4" t="s">
        <v>132</v>
      </c>
      <c r="E83" s="5" t="s">
        <v>282</v>
      </c>
      <c r="F83" s="4" t="s">
        <v>39</v>
      </c>
      <c r="G83" s="5"/>
      <c r="H83" s="4" t="s">
        <v>39</v>
      </c>
    </row>
    <row r="84" spans="1:8" x14ac:dyDescent="0.55000000000000004">
      <c r="A84" s="4"/>
      <c r="B84" s="5" t="s">
        <v>283</v>
      </c>
      <c r="C84" s="5" t="s">
        <v>284</v>
      </c>
      <c r="D84" s="4" t="s">
        <v>21</v>
      </c>
      <c r="E84" s="5" t="s">
        <v>285</v>
      </c>
      <c r="F84" s="4" t="s">
        <v>39</v>
      </c>
      <c r="G84" s="5" t="s">
        <v>280</v>
      </c>
      <c r="H84" s="4" t="s">
        <v>39</v>
      </c>
    </row>
    <row r="85" spans="1:8" x14ac:dyDescent="0.55000000000000004">
      <c r="A85" s="4"/>
      <c r="B85" s="5" t="s">
        <v>286</v>
      </c>
      <c r="C85" s="5" t="s">
        <v>287</v>
      </c>
      <c r="D85" s="4" t="s">
        <v>21</v>
      </c>
      <c r="E85" s="5" t="s">
        <v>288</v>
      </c>
      <c r="F85" s="4" t="s">
        <v>286</v>
      </c>
      <c r="G85" s="5"/>
      <c r="H85" s="4"/>
    </row>
    <row r="86" spans="1:8" x14ac:dyDescent="0.55000000000000004">
      <c r="A86" s="4"/>
      <c r="B86" s="5" t="s">
        <v>289</v>
      </c>
      <c r="C86" s="5" t="s">
        <v>290</v>
      </c>
      <c r="D86" s="4" t="s">
        <v>21</v>
      </c>
      <c r="E86" s="5" t="s">
        <v>291</v>
      </c>
      <c r="F86" s="4"/>
      <c r="G86" s="5"/>
      <c r="H86" s="4" t="s">
        <v>135</v>
      </c>
    </row>
    <row r="87" spans="1:8" x14ac:dyDescent="0.55000000000000004">
      <c r="A87" s="4"/>
      <c r="B87" s="5" t="s">
        <v>292</v>
      </c>
      <c r="C87" s="5" t="s">
        <v>293</v>
      </c>
      <c r="D87" s="4" t="s">
        <v>21</v>
      </c>
      <c r="E87" s="5" t="s">
        <v>294</v>
      </c>
      <c r="F87" s="4"/>
      <c r="G87" s="5"/>
      <c r="H87" s="4" t="s">
        <v>286</v>
      </c>
    </row>
    <row r="88" spans="1:8" x14ac:dyDescent="0.55000000000000004">
      <c r="A88" s="4"/>
      <c r="B88" s="5" t="s">
        <v>295</v>
      </c>
      <c r="C88" s="5" t="s">
        <v>296</v>
      </c>
      <c r="D88" s="4" t="s">
        <v>21</v>
      </c>
      <c r="E88" s="5" t="s">
        <v>297</v>
      </c>
      <c r="F88" s="4" t="s">
        <v>286</v>
      </c>
      <c r="G88" s="5"/>
      <c r="H88" s="4"/>
    </row>
    <row r="89" spans="1:8" x14ac:dyDescent="0.55000000000000004">
      <c r="A89" s="4"/>
      <c r="B89" s="5" t="s">
        <v>298</v>
      </c>
      <c r="C89" s="5" t="s">
        <v>299</v>
      </c>
      <c r="D89" s="4" t="s">
        <v>46</v>
      </c>
      <c r="E89" s="5" t="s">
        <v>300</v>
      </c>
      <c r="F89" s="4" t="s">
        <v>191</v>
      </c>
      <c r="G89" s="5"/>
      <c r="H89" s="4"/>
    </row>
    <row r="90" spans="1:8" x14ac:dyDescent="0.55000000000000004">
      <c r="A90" s="4"/>
      <c r="B90" s="5" t="s">
        <v>301</v>
      </c>
      <c r="C90" s="5" t="s">
        <v>302</v>
      </c>
      <c r="D90" s="4" t="s">
        <v>13</v>
      </c>
      <c r="E90" s="5" t="s">
        <v>303</v>
      </c>
      <c r="F90" s="4"/>
      <c r="G90" s="5"/>
      <c r="H90" s="4" t="s">
        <v>301</v>
      </c>
    </row>
    <row r="91" spans="1:8" x14ac:dyDescent="0.55000000000000004">
      <c r="A91" s="4"/>
      <c r="B91" s="5" t="s">
        <v>304</v>
      </c>
      <c r="C91" s="5" t="s">
        <v>305</v>
      </c>
      <c r="D91" s="4" t="s">
        <v>21</v>
      </c>
      <c r="E91" s="5" t="s">
        <v>306</v>
      </c>
      <c r="F91" s="4" t="s">
        <v>251</v>
      </c>
      <c r="G91" s="5"/>
      <c r="H91" s="4"/>
    </row>
    <row r="92" spans="1:8" x14ac:dyDescent="0.55000000000000004">
      <c r="A92" s="4">
        <v>41</v>
      </c>
      <c r="B92" s="5" t="s">
        <v>307</v>
      </c>
      <c r="C92" s="5" t="s">
        <v>308</v>
      </c>
      <c r="D92" s="4" t="s">
        <v>13</v>
      </c>
      <c r="E92" s="5" t="s">
        <v>309</v>
      </c>
      <c r="F92" s="4" t="s">
        <v>28</v>
      </c>
      <c r="G92" s="5" t="s">
        <v>310</v>
      </c>
      <c r="H92" s="4" t="s">
        <v>311</v>
      </c>
    </row>
    <row r="93" spans="1:8" x14ac:dyDescent="0.55000000000000004">
      <c r="A93" s="4"/>
      <c r="B93" s="5" t="s">
        <v>312</v>
      </c>
      <c r="C93" s="5" t="s">
        <v>313</v>
      </c>
      <c r="D93" s="4" t="s">
        <v>13</v>
      </c>
      <c r="E93" s="5" t="s">
        <v>314</v>
      </c>
      <c r="F93" s="4"/>
      <c r="G93" s="5"/>
      <c r="H93" s="4"/>
    </row>
    <row r="94" spans="1:8" x14ac:dyDescent="0.55000000000000004">
      <c r="A94" s="4"/>
      <c r="B94" s="5" t="s">
        <v>315</v>
      </c>
      <c r="C94" s="5" t="s">
        <v>316</v>
      </c>
      <c r="D94" s="4" t="s">
        <v>21</v>
      </c>
      <c r="E94" s="5" t="s">
        <v>317</v>
      </c>
      <c r="F94" s="4"/>
      <c r="G94" s="5"/>
      <c r="H94" s="4"/>
    </row>
    <row r="95" spans="1:8" x14ac:dyDescent="0.55000000000000004">
      <c r="A95" s="4">
        <v>72</v>
      </c>
      <c r="B95" s="5" t="s">
        <v>318</v>
      </c>
      <c r="C95" s="5" t="s">
        <v>319</v>
      </c>
      <c r="D95" s="4" t="s">
        <v>21</v>
      </c>
      <c r="E95" s="5" t="s">
        <v>320</v>
      </c>
      <c r="F95" s="4" t="s">
        <v>28</v>
      </c>
      <c r="G95" s="5" t="s">
        <v>321</v>
      </c>
      <c r="H95" s="4" t="s">
        <v>24</v>
      </c>
    </row>
    <row r="96" spans="1:8" x14ac:dyDescent="0.55000000000000004">
      <c r="A96" s="4">
        <v>52</v>
      </c>
      <c r="B96" s="5" t="s">
        <v>322</v>
      </c>
      <c r="C96" s="5" t="s">
        <v>323</v>
      </c>
      <c r="D96" s="4" t="s">
        <v>21</v>
      </c>
      <c r="E96" s="5" t="s">
        <v>324</v>
      </c>
      <c r="F96" s="4" t="s">
        <v>28</v>
      </c>
      <c r="G96" s="5" t="s">
        <v>325</v>
      </c>
      <c r="H96" s="4" t="s">
        <v>326</v>
      </c>
    </row>
    <row r="97" spans="1:8" x14ac:dyDescent="0.55000000000000004">
      <c r="A97" s="4"/>
      <c r="B97" s="5" t="s">
        <v>327</v>
      </c>
      <c r="C97" s="5" t="s">
        <v>328</v>
      </c>
      <c r="D97" s="4" t="s">
        <v>132</v>
      </c>
      <c r="E97" s="5" t="s">
        <v>329</v>
      </c>
      <c r="F97" s="4"/>
      <c r="G97" s="5"/>
      <c r="H97" s="4" t="s">
        <v>151</v>
      </c>
    </row>
    <row r="98" spans="1:8" x14ac:dyDescent="0.55000000000000004">
      <c r="A98" s="4"/>
      <c r="B98" s="5" t="s">
        <v>330</v>
      </c>
      <c r="C98" s="5" t="s">
        <v>331</v>
      </c>
      <c r="D98" s="4" t="s">
        <v>13</v>
      </c>
      <c r="E98" s="5" t="s">
        <v>332</v>
      </c>
      <c r="F98" s="4" t="s">
        <v>251</v>
      </c>
      <c r="G98" s="5" t="s">
        <v>333</v>
      </c>
      <c r="H98" s="4" t="s">
        <v>151</v>
      </c>
    </row>
    <row r="99" spans="1:8" x14ac:dyDescent="0.55000000000000004">
      <c r="A99" s="4"/>
      <c r="B99" s="5" t="s">
        <v>334</v>
      </c>
      <c r="C99" s="5" t="s">
        <v>335</v>
      </c>
      <c r="D99" s="4" t="s">
        <v>21</v>
      </c>
      <c r="E99" s="5" t="s">
        <v>336</v>
      </c>
      <c r="F99" s="4"/>
      <c r="G99" s="5"/>
      <c r="H99" s="4" t="s">
        <v>151</v>
      </c>
    </row>
    <row r="100" spans="1:8" x14ac:dyDescent="0.55000000000000004">
      <c r="A100" s="4"/>
      <c r="B100" s="5" t="s">
        <v>337</v>
      </c>
      <c r="C100" s="5" t="s">
        <v>338</v>
      </c>
      <c r="D100" s="4" t="s">
        <v>132</v>
      </c>
      <c r="E100" s="5" t="s">
        <v>339</v>
      </c>
      <c r="F100" s="4" t="s">
        <v>191</v>
      </c>
      <c r="G100" s="5"/>
      <c r="H100" s="4" t="s">
        <v>340</v>
      </c>
    </row>
    <row r="101" spans="1:8" x14ac:dyDescent="0.55000000000000004">
      <c r="A101" s="4"/>
      <c r="B101" s="5" t="s">
        <v>341</v>
      </c>
      <c r="C101" s="5" t="s">
        <v>342</v>
      </c>
      <c r="D101" s="4" t="s">
        <v>13</v>
      </c>
      <c r="E101" s="5" t="s">
        <v>343</v>
      </c>
      <c r="F101" s="4" t="s">
        <v>68</v>
      </c>
      <c r="G101" s="5"/>
      <c r="H101" s="4" t="s">
        <v>24</v>
      </c>
    </row>
    <row r="102" spans="1:8" x14ac:dyDescent="0.55000000000000004">
      <c r="A102" s="4"/>
      <c r="B102" s="5" t="s">
        <v>344</v>
      </c>
      <c r="C102" s="5" t="s">
        <v>345</v>
      </c>
      <c r="D102" s="4" t="s">
        <v>21</v>
      </c>
      <c r="E102" s="5" t="s">
        <v>346</v>
      </c>
      <c r="F102" s="4" t="s">
        <v>134</v>
      </c>
      <c r="G102" s="5"/>
      <c r="H102" s="4" t="s">
        <v>135</v>
      </c>
    </row>
    <row r="103" spans="1:8" x14ac:dyDescent="0.55000000000000004">
      <c r="A103" s="4"/>
      <c r="B103" s="5" t="s">
        <v>347</v>
      </c>
      <c r="C103" s="5" t="s">
        <v>348</v>
      </c>
      <c r="D103" s="4" t="s">
        <v>21</v>
      </c>
      <c r="E103" s="5" t="s">
        <v>349</v>
      </c>
      <c r="F103" s="4" t="s">
        <v>134</v>
      </c>
      <c r="G103" s="5"/>
      <c r="H103" s="4" t="s">
        <v>350</v>
      </c>
    </row>
    <row r="104" spans="1:8" x14ac:dyDescent="0.55000000000000004">
      <c r="A104" s="4"/>
      <c r="B104" s="5" t="s">
        <v>351</v>
      </c>
      <c r="C104" s="5" t="s">
        <v>271</v>
      </c>
      <c r="D104" s="4" t="s">
        <v>21</v>
      </c>
      <c r="E104" s="5" t="s">
        <v>272</v>
      </c>
      <c r="F104" s="4" t="s">
        <v>191</v>
      </c>
      <c r="G104" s="5"/>
      <c r="H104" s="4" t="s">
        <v>273</v>
      </c>
    </row>
    <row r="105" spans="1:8" x14ac:dyDescent="0.55000000000000004">
      <c r="A105" s="4"/>
      <c r="B105" s="5" t="s">
        <v>352</v>
      </c>
      <c r="C105" s="5" t="s">
        <v>352</v>
      </c>
      <c r="D105" s="4" t="s">
        <v>13</v>
      </c>
      <c r="E105" s="5" t="s">
        <v>353</v>
      </c>
      <c r="F105" s="4" t="s">
        <v>99</v>
      </c>
      <c r="G105" s="5"/>
      <c r="H105" s="4" t="s">
        <v>24</v>
      </c>
    </row>
    <row r="106" spans="1:8" x14ac:dyDescent="0.55000000000000004">
      <c r="A106" s="4">
        <v>34</v>
      </c>
      <c r="B106" s="6" t="s">
        <v>354</v>
      </c>
      <c r="C106" s="6" t="s">
        <v>355</v>
      </c>
      <c r="D106" s="7" t="s">
        <v>46</v>
      </c>
      <c r="E106" s="6" t="s">
        <v>356</v>
      </c>
      <c r="F106" s="7" t="s">
        <v>28</v>
      </c>
      <c r="G106" s="6" t="s">
        <v>357</v>
      </c>
      <c r="H106" s="7" t="s">
        <v>358</v>
      </c>
    </row>
    <row r="107" spans="1:8" x14ac:dyDescent="0.55000000000000004">
      <c r="A107" s="4">
        <v>34</v>
      </c>
      <c r="B107" s="5" t="s">
        <v>359</v>
      </c>
      <c r="C107" s="5" t="s">
        <v>360</v>
      </c>
      <c r="D107" s="4" t="s">
        <v>46</v>
      </c>
      <c r="E107" s="5" t="s">
        <v>361</v>
      </c>
      <c r="F107" s="4" t="s">
        <v>28</v>
      </c>
      <c r="G107" s="5" t="s">
        <v>357</v>
      </c>
      <c r="H107" s="4" t="s">
        <v>358</v>
      </c>
    </row>
    <row r="108" spans="1:8" x14ac:dyDescent="0.55000000000000004">
      <c r="A108" s="4"/>
      <c r="B108" s="5" t="s">
        <v>362</v>
      </c>
      <c r="C108" s="5" t="s">
        <v>362</v>
      </c>
      <c r="D108" s="4" t="s">
        <v>158</v>
      </c>
      <c r="E108" s="5" t="s">
        <v>158</v>
      </c>
      <c r="F108" s="4" t="s">
        <v>134</v>
      </c>
      <c r="G108" s="5" t="s">
        <v>363</v>
      </c>
      <c r="H108" s="4" t="s">
        <v>364</v>
      </c>
    </row>
    <row r="109" spans="1:8" x14ac:dyDescent="0.55000000000000004">
      <c r="A109" s="4"/>
      <c r="B109" s="5" t="s">
        <v>365</v>
      </c>
      <c r="C109" s="5" t="s">
        <v>365</v>
      </c>
      <c r="D109" s="4" t="s">
        <v>132</v>
      </c>
      <c r="E109" s="5" t="s">
        <v>366</v>
      </c>
      <c r="F109" s="4"/>
      <c r="G109" s="5"/>
      <c r="H109" s="4" t="s">
        <v>144</v>
      </c>
    </row>
    <row r="110" spans="1:8" x14ac:dyDescent="0.55000000000000004">
      <c r="A110" s="4"/>
      <c r="B110" s="5" t="s">
        <v>367</v>
      </c>
      <c r="C110" s="5" t="s">
        <v>367</v>
      </c>
      <c r="D110" s="4" t="s">
        <v>46</v>
      </c>
      <c r="E110" s="5" t="s">
        <v>368</v>
      </c>
      <c r="F110" s="4" t="s">
        <v>39</v>
      </c>
      <c r="G110" s="5" t="s">
        <v>369</v>
      </c>
      <c r="H110" s="4" t="s">
        <v>370</v>
      </c>
    </row>
    <row r="111" spans="1:8" x14ac:dyDescent="0.55000000000000004">
      <c r="A111" s="4"/>
      <c r="B111" s="5" t="s">
        <v>371</v>
      </c>
      <c r="C111" s="5" t="s">
        <v>371</v>
      </c>
      <c r="D111" s="4" t="s">
        <v>372</v>
      </c>
      <c r="E111" s="5" t="s">
        <v>373</v>
      </c>
      <c r="F111" s="4" t="s">
        <v>39</v>
      </c>
      <c r="G111" s="5" t="s">
        <v>369</v>
      </c>
      <c r="H111" s="4" t="s">
        <v>39</v>
      </c>
    </row>
    <row r="112" spans="1:8" x14ac:dyDescent="0.55000000000000004">
      <c r="A112" s="4"/>
      <c r="B112" s="5" t="s">
        <v>374</v>
      </c>
      <c r="C112" s="5" t="s">
        <v>374</v>
      </c>
      <c r="D112" s="4" t="s">
        <v>42</v>
      </c>
      <c r="E112" s="5" t="s">
        <v>375</v>
      </c>
      <c r="F112" s="4" t="s">
        <v>286</v>
      </c>
      <c r="G112" s="5" t="s">
        <v>376</v>
      </c>
      <c r="H112" s="4" t="s">
        <v>286</v>
      </c>
    </row>
    <row r="113" spans="1:9" x14ac:dyDescent="0.55000000000000004">
      <c r="A113" s="4"/>
      <c r="B113" s="5" t="s">
        <v>377</v>
      </c>
      <c r="C113" s="5" t="s">
        <v>377</v>
      </c>
      <c r="D113" s="4" t="s">
        <v>13</v>
      </c>
      <c r="E113" s="5" t="s">
        <v>378</v>
      </c>
      <c r="F113" s="4" t="s">
        <v>99</v>
      </c>
      <c r="G113" s="5"/>
      <c r="H113" s="4" t="s">
        <v>24</v>
      </c>
      <c r="I113" s="2" t="s">
        <v>379</v>
      </c>
    </row>
    <row r="114" spans="1:9" x14ac:dyDescent="0.55000000000000004">
      <c r="A114" s="4"/>
      <c r="B114" s="5" t="s">
        <v>380</v>
      </c>
      <c r="C114" s="5" t="s">
        <v>380</v>
      </c>
      <c r="D114" s="4" t="s">
        <v>21</v>
      </c>
      <c r="E114" s="5" t="s">
        <v>381</v>
      </c>
      <c r="F114" s="4" t="s">
        <v>39</v>
      </c>
      <c r="G114" s="5"/>
      <c r="H114" s="4" t="s">
        <v>39</v>
      </c>
    </row>
    <row r="115" spans="1:9" x14ac:dyDescent="0.55000000000000004">
      <c r="A115" s="4"/>
      <c r="B115" s="5" t="s">
        <v>382</v>
      </c>
      <c r="C115" s="5" t="s">
        <v>382</v>
      </c>
      <c r="D115" s="4" t="s">
        <v>21</v>
      </c>
      <c r="E115" s="5" t="s">
        <v>383</v>
      </c>
      <c r="F115" s="4" t="s">
        <v>251</v>
      </c>
      <c r="G115" s="5"/>
      <c r="H115" s="4" t="s">
        <v>24</v>
      </c>
    </row>
    <row r="116" spans="1:9" x14ac:dyDescent="0.55000000000000004">
      <c r="A116" s="4"/>
      <c r="B116" s="5" t="s">
        <v>384</v>
      </c>
      <c r="C116" s="5" t="s">
        <v>384</v>
      </c>
      <c r="D116" s="4" t="s">
        <v>21</v>
      </c>
      <c r="E116" s="5" t="s">
        <v>385</v>
      </c>
      <c r="F116" s="4" t="s">
        <v>39</v>
      </c>
      <c r="G116" s="5"/>
      <c r="H116" s="4" t="s">
        <v>39</v>
      </c>
    </row>
    <row r="117" spans="1:9" x14ac:dyDescent="0.55000000000000004">
      <c r="A117" s="4">
        <v>59</v>
      </c>
      <c r="B117" s="5" t="s">
        <v>386</v>
      </c>
      <c r="C117" s="5" t="s">
        <v>386</v>
      </c>
      <c r="D117" s="4" t="s">
        <v>132</v>
      </c>
      <c r="E117" s="5" t="s">
        <v>387</v>
      </c>
      <c r="F117" s="4" t="s">
        <v>277</v>
      </c>
      <c r="G117" s="5"/>
      <c r="H117" s="4" t="s">
        <v>24</v>
      </c>
    </row>
    <row r="118" spans="1:9" x14ac:dyDescent="0.55000000000000004">
      <c r="A118" s="4"/>
      <c r="B118" s="5" t="s">
        <v>388</v>
      </c>
      <c r="C118" s="5" t="s">
        <v>388</v>
      </c>
      <c r="D118" s="4" t="s">
        <v>132</v>
      </c>
      <c r="E118" s="5" t="s">
        <v>389</v>
      </c>
      <c r="F118" s="4" t="s">
        <v>390</v>
      </c>
      <c r="G118" s="5"/>
      <c r="H118" s="4" t="s">
        <v>24</v>
      </c>
    </row>
    <row r="119" spans="1:9" x14ac:dyDescent="0.55000000000000004">
      <c r="A119" s="4"/>
      <c r="B119" s="5" t="s">
        <v>391</v>
      </c>
      <c r="C119" s="5" t="s">
        <v>391</v>
      </c>
      <c r="D119" s="4" t="s">
        <v>132</v>
      </c>
      <c r="E119" s="5" t="s">
        <v>392</v>
      </c>
      <c r="F119" s="4" t="s">
        <v>393</v>
      </c>
      <c r="G119" s="5" t="s">
        <v>394</v>
      </c>
      <c r="H119" s="4" t="s">
        <v>39</v>
      </c>
    </row>
    <row r="120" spans="1:9" x14ac:dyDescent="0.55000000000000004">
      <c r="A120" s="4"/>
      <c r="B120" s="5" t="s">
        <v>395</v>
      </c>
      <c r="C120" s="5" t="s">
        <v>395</v>
      </c>
      <c r="D120" s="4" t="s">
        <v>372</v>
      </c>
      <c r="E120" s="5" t="s">
        <v>396</v>
      </c>
      <c r="F120" s="4"/>
      <c r="G120" s="5" t="s">
        <v>397</v>
      </c>
      <c r="H120" s="4"/>
    </row>
    <row r="121" spans="1:9" x14ac:dyDescent="0.55000000000000004">
      <c r="A121" s="4"/>
      <c r="B121" s="5" t="s">
        <v>398</v>
      </c>
      <c r="C121" s="5" t="s">
        <v>398</v>
      </c>
      <c r="D121" s="4" t="s">
        <v>42</v>
      </c>
      <c r="E121" s="5" t="s">
        <v>399</v>
      </c>
      <c r="F121" s="4" t="s">
        <v>99</v>
      </c>
      <c r="G121" s="5" t="s">
        <v>400</v>
      </c>
      <c r="H121" s="4" t="s">
        <v>24</v>
      </c>
    </row>
    <row r="122" spans="1:9" x14ac:dyDescent="0.55000000000000004">
      <c r="A122" s="4"/>
      <c r="B122" s="5" t="s">
        <v>401</v>
      </c>
      <c r="C122" s="5" t="s">
        <v>401</v>
      </c>
      <c r="D122" s="4" t="s">
        <v>42</v>
      </c>
      <c r="E122" s="5" t="s">
        <v>402</v>
      </c>
      <c r="F122" s="4" t="s">
        <v>99</v>
      </c>
      <c r="G122" s="5"/>
      <c r="H122" s="4" t="s">
        <v>99</v>
      </c>
    </row>
    <row r="123" spans="1:9" x14ac:dyDescent="0.55000000000000004">
      <c r="A123" s="4"/>
      <c r="B123" s="5" t="s">
        <v>403</v>
      </c>
      <c r="C123" s="5" t="s">
        <v>403</v>
      </c>
      <c r="D123" s="4" t="s">
        <v>132</v>
      </c>
      <c r="E123" s="5" t="s">
        <v>404</v>
      </c>
      <c r="F123" s="4" t="s">
        <v>39</v>
      </c>
      <c r="G123" s="5"/>
      <c r="H123" s="4" t="s">
        <v>39</v>
      </c>
    </row>
    <row r="124" spans="1:9" x14ac:dyDescent="0.55000000000000004">
      <c r="A124" s="4"/>
      <c r="B124" s="5" t="s">
        <v>405</v>
      </c>
      <c r="C124" s="5" t="s">
        <v>405</v>
      </c>
      <c r="D124" s="4" t="s">
        <v>46</v>
      </c>
      <c r="E124" s="5" t="s">
        <v>406</v>
      </c>
      <c r="F124" s="4" t="s">
        <v>407</v>
      </c>
      <c r="G124" s="5" t="s">
        <v>408</v>
      </c>
      <c r="H124" s="4" t="s">
        <v>409</v>
      </c>
    </row>
    <row r="125" spans="1:9" x14ac:dyDescent="0.55000000000000004">
      <c r="A125" s="4"/>
      <c r="B125" s="5" t="s">
        <v>410</v>
      </c>
      <c r="C125" s="5" t="s">
        <v>410</v>
      </c>
      <c r="D125" s="4" t="s">
        <v>21</v>
      </c>
      <c r="E125" s="5" t="s">
        <v>411</v>
      </c>
      <c r="F125" s="4" t="s">
        <v>39</v>
      </c>
      <c r="G125" s="5" t="s">
        <v>412</v>
      </c>
      <c r="H125" s="4" t="s">
        <v>39</v>
      </c>
    </row>
    <row r="126" spans="1:9" x14ac:dyDescent="0.55000000000000004">
      <c r="A126" s="4"/>
      <c r="B126" s="5" t="s">
        <v>413</v>
      </c>
      <c r="C126" s="5" t="s">
        <v>413</v>
      </c>
      <c r="D126" s="4" t="s">
        <v>21</v>
      </c>
      <c r="E126" s="5" t="s">
        <v>414</v>
      </c>
      <c r="F126" s="4" t="s">
        <v>39</v>
      </c>
      <c r="G126" s="5"/>
      <c r="H126" s="4" t="s">
        <v>39</v>
      </c>
    </row>
    <row r="127" spans="1:9" x14ac:dyDescent="0.55000000000000004">
      <c r="A127" s="4"/>
      <c r="B127" s="5" t="s">
        <v>415</v>
      </c>
      <c r="C127" s="5" t="s">
        <v>415</v>
      </c>
      <c r="D127" s="4" t="s">
        <v>21</v>
      </c>
      <c r="E127" s="5" t="s">
        <v>416</v>
      </c>
      <c r="F127" s="3" t="s">
        <v>417</v>
      </c>
      <c r="G127" s="5"/>
      <c r="H127" s="4" t="s">
        <v>24</v>
      </c>
    </row>
    <row r="128" spans="1:9" x14ac:dyDescent="0.55000000000000004">
      <c r="A128" s="4"/>
      <c r="B128" s="5" t="s">
        <v>418</v>
      </c>
      <c r="C128" s="5" t="s">
        <v>418</v>
      </c>
      <c r="D128" s="4" t="s">
        <v>46</v>
      </c>
      <c r="E128" s="5" t="s">
        <v>419</v>
      </c>
      <c r="F128" s="4" t="s">
        <v>39</v>
      </c>
      <c r="G128" s="5"/>
      <c r="H128" s="4" t="s">
        <v>39</v>
      </c>
    </row>
    <row r="129" spans="1:8" x14ac:dyDescent="0.55000000000000004">
      <c r="A129" s="4"/>
      <c r="B129" s="5" t="s">
        <v>420</v>
      </c>
      <c r="C129" s="5" t="s">
        <v>420</v>
      </c>
      <c r="D129" s="4" t="s">
        <v>21</v>
      </c>
      <c r="E129" s="5" t="s">
        <v>421</v>
      </c>
      <c r="F129" s="4" t="s">
        <v>422</v>
      </c>
      <c r="G129" s="5" t="s">
        <v>423</v>
      </c>
      <c r="H129" s="4" t="s">
        <v>24</v>
      </c>
    </row>
    <row r="130" spans="1:8" x14ac:dyDescent="0.55000000000000004">
      <c r="A130" s="4"/>
      <c r="B130" s="5" t="s">
        <v>424</v>
      </c>
      <c r="C130" s="5" t="s">
        <v>424</v>
      </c>
      <c r="D130" s="4" t="s">
        <v>21</v>
      </c>
      <c r="E130" s="5" t="s">
        <v>425</v>
      </c>
      <c r="F130" s="4" t="s">
        <v>39</v>
      </c>
      <c r="G130" s="5"/>
      <c r="H130" s="4" t="s">
        <v>39</v>
      </c>
    </row>
    <row r="131" spans="1:8" ht="25.15" customHeight="1" x14ac:dyDescent="0.55000000000000004">
      <c r="A131" s="4"/>
      <c r="B131" s="5" t="s">
        <v>426</v>
      </c>
      <c r="C131" s="5" t="s">
        <v>426</v>
      </c>
      <c r="D131" s="4" t="s">
        <v>13</v>
      </c>
      <c r="E131" s="5" t="s">
        <v>427</v>
      </c>
      <c r="F131" s="3" t="s">
        <v>428</v>
      </c>
      <c r="G131" s="5"/>
      <c r="H131" s="4" t="s">
        <v>24</v>
      </c>
    </row>
    <row r="132" spans="1:8" ht="25.15" customHeight="1" x14ac:dyDescent="0.55000000000000004">
      <c r="A132" s="4">
        <v>46</v>
      </c>
      <c r="B132" s="5" t="s">
        <v>429</v>
      </c>
      <c r="C132" s="5" t="s">
        <v>429</v>
      </c>
      <c r="D132" s="4" t="s">
        <v>21</v>
      </c>
      <c r="E132" s="5" t="s">
        <v>430</v>
      </c>
      <c r="F132" s="4" t="s">
        <v>28</v>
      </c>
      <c r="G132" s="5"/>
      <c r="H132" s="4" t="s">
        <v>431</v>
      </c>
    </row>
    <row r="133" spans="1:8" ht="25.15" customHeight="1" x14ac:dyDescent="0.55000000000000004">
      <c r="A133" s="4"/>
      <c r="B133" s="5" t="s">
        <v>432</v>
      </c>
      <c r="C133" s="5" t="s">
        <v>432</v>
      </c>
      <c r="D133" s="4" t="s">
        <v>21</v>
      </c>
      <c r="E133" s="5" t="s">
        <v>433</v>
      </c>
      <c r="F133" s="4" t="s">
        <v>39</v>
      </c>
      <c r="G133" s="5"/>
      <c r="H133" s="4" t="s">
        <v>39</v>
      </c>
    </row>
    <row r="134" spans="1:8" ht="25.15" customHeight="1" x14ac:dyDescent="0.55000000000000004">
      <c r="A134" s="4"/>
      <c r="B134" s="5" t="s">
        <v>434</v>
      </c>
      <c r="C134" s="5" t="s">
        <v>435</v>
      </c>
      <c r="D134" s="4" t="s">
        <v>13</v>
      </c>
      <c r="E134" s="5" t="s">
        <v>436</v>
      </c>
      <c r="F134" s="4" t="s">
        <v>39</v>
      </c>
      <c r="G134" s="5"/>
      <c r="H134" s="4" t="s">
        <v>39</v>
      </c>
    </row>
    <row r="135" spans="1:8" ht="25.15" customHeight="1" x14ac:dyDescent="0.55000000000000004">
      <c r="A135" s="4"/>
      <c r="B135" s="5" t="s">
        <v>437</v>
      </c>
      <c r="C135" s="5" t="s">
        <v>437</v>
      </c>
      <c r="D135" s="4" t="s">
        <v>46</v>
      </c>
      <c r="E135" s="5" t="s">
        <v>438</v>
      </c>
      <c r="F135" s="4" t="s">
        <v>39</v>
      </c>
      <c r="G135" s="5"/>
      <c r="H135" s="4" t="s">
        <v>39</v>
      </c>
    </row>
    <row r="136" spans="1:8" ht="25.15" customHeight="1" x14ac:dyDescent="0.55000000000000004">
      <c r="A136" s="4"/>
      <c r="B136" s="5" t="s">
        <v>439</v>
      </c>
      <c r="C136" s="5" t="s">
        <v>439</v>
      </c>
      <c r="D136" s="4" t="s">
        <v>46</v>
      </c>
      <c r="E136" s="5" t="s">
        <v>440</v>
      </c>
      <c r="F136" s="4" t="s">
        <v>39</v>
      </c>
      <c r="G136" s="5"/>
      <c r="H136" s="4" t="s">
        <v>39</v>
      </c>
    </row>
    <row r="137" spans="1:8" x14ac:dyDescent="0.55000000000000004">
      <c r="A137" s="4"/>
      <c r="B137" s="5" t="s">
        <v>441</v>
      </c>
      <c r="C137" s="5" t="s">
        <v>441</v>
      </c>
      <c r="D137" s="4" t="s">
        <v>132</v>
      </c>
      <c r="E137" s="5" t="s">
        <v>442</v>
      </c>
      <c r="F137" s="4"/>
      <c r="G137" s="5" t="s">
        <v>443</v>
      </c>
      <c r="H137" s="4" t="s">
        <v>24</v>
      </c>
    </row>
    <row r="138" spans="1:8" x14ac:dyDescent="0.55000000000000004">
      <c r="A138" s="4"/>
      <c r="B138" s="5" t="s">
        <v>444</v>
      </c>
      <c r="C138" s="5" t="s">
        <v>445</v>
      </c>
      <c r="D138" s="4" t="s">
        <v>46</v>
      </c>
      <c r="E138" s="5" t="s">
        <v>446</v>
      </c>
      <c r="F138" s="4"/>
      <c r="G138" s="5" t="s">
        <v>447</v>
      </c>
      <c r="H138" s="4" t="s">
        <v>151</v>
      </c>
    </row>
    <row r="139" spans="1:8" x14ac:dyDescent="0.55000000000000004">
      <c r="A139" s="4"/>
      <c r="B139" s="5" t="s">
        <v>448</v>
      </c>
      <c r="C139" s="5" t="s">
        <v>448</v>
      </c>
      <c r="D139" s="4" t="s">
        <v>21</v>
      </c>
      <c r="E139" s="5" t="s">
        <v>449</v>
      </c>
      <c r="F139" s="4" t="s">
        <v>39</v>
      </c>
      <c r="G139" s="5"/>
      <c r="H139" s="4" t="s">
        <v>39</v>
      </c>
    </row>
    <row r="140" spans="1:8" x14ac:dyDescent="0.55000000000000004">
      <c r="A140" s="4"/>
      <c r="B140" s="5" t="s">
        <v>450</v>
      </c>
      <c r="C140" s="5" t="s">
        <v>450</v>
      </c>
      <c r="D140" s="4" t="s">
        <v>13</v>
      </c>
      <c r="E140" s="5" t="s">
        <v>451</v>
      </c>
      <c r="F140" s="4" t="s">
        <v>39</v>
      </c>
      <c r="G140" s="5"/>
      <c r="H140" s="4" t="s">
        <v>39</v>
      </c>
    </row>
    <row r="141" spans="1:8" x14ac:dyDescent="0.55000000000000004">
      <c r="A141" s="4"/>
      <c r="B141" s="5" t="s">
        <v>452</v>
      </c>
      <c r="C141" s="5" t="s">
        <v>452</v>
      </c>
      <c r="D141" s="4" t="s">
        <v>21</v>
      </c>
      <c r="E141" s="5" t="s">
        <v>453</v>
      </c>
      <c r="F141" s="4" t="s">
        <v>39</v>
      </c>
      <c r="G141" s="5" t="s">
        <v>454</v>
      </c>
      <c r="H141" s="4" t="s">
        <v>39</v>
      </c>
    </row>
    <row r="142" spans="1:8" x14ac:dyDescent="0.55000000000000004">
      <c r="A142" s="4"/>
      <c r="B142" s="5" t="s">
        <v>455</v>
      </c>
      <c r="C142" s="5" t="s">
        <v>455</v>
      </c>
      <c r="D142" s="4" t="s">
        <v>132</v>
      </c>
      <c r="E142" s="5" t="s">
        <v>456</v>
      </c>
      <c r="F142" s="4"/>
      <c r="G142" s="5" t="s">
        <v>457</v>
      </c>
      <c r="H142" s="4" t="s">
        <v>57</v>
      </c>
    </row>
    <row r="143" spans="1:8" x14ac:dyDescent="0.55000000000000004">
      <c r="A143" s="4"/>
      <c r="B143" s="5" t="s">
        <v>458</v>
      </c>
      <c r="C143" s="5" t="s">
        <v>458</v>
      </c>
      <c r="D143" s="4" t="s">
        <v>21</v>
      </c>
      <c r="E143" s="5" t="s">
        <v>459</v>
      </c>
      <c r="F143" s="4" t="s">
        <v>39</v>
      </c>
      <c r="G143" s="5"/>
      <c r="H143" s="4" t="s">
        <v>39</v>
      </c>
    </row>
    <row r="144" spans="1:8" x14ac:dyDescent="0.55000000000000004">
      <c r="A144" s="4"/>
      <c r="B144" s="5" t="s">
        <v>460</v>
      </c>
      <c r="C144" s="5" t="s">
        <v>460</v>
      </c>
      <c r="D144" s="4" t="s">
        <v>21</v>
      </c>
      <c r="E144" s="5" t="s">
        <v>461</v>
      </c>
      <c r="F144" s="4" t="s">
        <v>144</v>
      </c>
      <c r="G144" s="5" t="s">
        <v>462</v>
      </c>
      <c r="H144" s="4" t="s">
        <v>370</v>
      </c>
    </row>
    <row r="145" spans="1:8" x14ac:dyDescent="0.55000000000000004">
      <c r="A145" s="4"/>
      <c r="B145" s="5" t="s">
        <v>463</v>
      </c>
      <c r="C145" s="5" t="s">
        <v>464</v>
      </c>
      <c r="D145" s="4" t="s">
        <v>21</v>
      </c>
      <c r="E145" s="5" t="s">
        <v>465</v>
      </c>
      <c r="F145" s="4" t="s">
        <v>144</v>
      </c>
      <c r="G145" s="5"/>
      <c r="H145" s="4" t="s">
        <v>24</v>
      </c>
    </row>
    <row r="146" spans="1:8" x14ac:dyDescent="0.55000000000000004">
      <c r="A146" s="4"/>
      <c r="B146" s="5" t="s">
        <v>466</v>
      </c>
      <c r="C146" s="5" t="s">
        <v>467</v>
      </c>
      <c r="D146" s="4" t="s">
        <v>468</v>
      </c>
      <c r="E146" s="5" t="s">
        <v>469</v>
      </c>
      <c r="F146" s="4" t="s">
        <v>39</v>
      </c>
      <c r="G146" s="5"/>
      <c r="H146" s="4" t="s">
        <v>39</v>
      </c>
    </row>
    <row r="147" spans="1:8" x14ac:dyDescent="0.55000000000000004">
      <c r="A147" s="4"/>
      <c r="B147" s="5" t="s">
        <v>470</v>
      </c>
      <c r="C147" s="5" t="s">
        <v>470</v>
      </c>
      <c r="D147" s="4" t="s">
        <v>21</v>
      </c>
      <c r="E147" s="5" t="s">
        <v>471</v>
      </c>
      <c r="F147" s="4"/>
      <c r="G147" s="5" t="s">
        <v>472</v>
      </c>
      <c r="H147" s="4" t="s">
        <v>24</v>
      </c>
    </row>
    <row r="148" spans="1:8" x14ac:dyDescent="0.55000000000000004">
      <c r="A148" s="4"/>
      <c r="B148" s="5" t="s">
        <v>473</v>
      </c>
      <c r="C148" s="5" t="s">
        <v>473</v>
      </c>
      <c r="D148" s="4" t="s">
        <v>13</v>
      </c>
      <c r="E148" s="5" t="s">
        <v>474</v>
      </c>
      <c r="F148" s="4"/>
      <c r="G148" s="5"/>
      <c r="H148" s="4" t="s">
        <v>57</v>
      </c>
    </row>
    <row r="149" spans="1:8" x14ac:dyDescent="0.55000000000000004">
      <c r="A149" s="4"/>
      <c r="B149" s="5" t="s">
        <v>475</v>
      </c>
      <c r="C149" s="5" t="s">
        <v>475</v>
      </c>
      <c r="D149" s="4" t="s">
        <v>21</v>
      </c>
      <c r="E149" s="5" t="s">
        <v>476</v>
      </c>
      <c r="F149" s="4" t="s">
        <v>39</v>
      </c>
      <c r="G149" s="5"/>
      <c r="H149" s="4" t="s">
        <v>39</v>
      </c>
    </row>
    <row r="150" spans="1:8" x14ac:dyDescent="0.55000000000000004">
      <c r="A150" s="4"/>
      <c r="B150" s="5" t="s">
        <v>477</v>
      </c>
      <c r="C150" s="5" t="s">
        <v>478</v>
      </c>
      <c r="D150" s="4" t="s">
        <v>46</v>
      </c>
      <c r="E150" s="5" t="s">
        <v>479</v>
      </c>
      <c r="F150" s="4" t="s">
        <v>251</v>
      </c>
      <c r="G150" s="5"/>
      <c r="H150" s="4" t="s">
        <v>259</v>
      </c>
    </row>
    <row r="151" spans="1:8" x14ac:dyDescent="0.55000000000000004">
      <c r="A151" s="4"/>
      <c r="B151" s="5" t="s">
        <v>480</v>
      </c>
      <c r="C151" s="5" t="s">
        <v>481</v>
      </c>
      <c r="D151" s="4" t="s">
        <v>46</v>
      </c>
      <c r="E151" s="5" t="s">
        <v>482</v>
      </c>
      <c r="F151" s="4" t="s">
        <v>28</v>
      </c>
      <c r="G151" s="5"/>
      <c r="H151" s="4" t="s">
        <v>24</v>
      </c>
    </row>
    <row r="152" spans="1:8" x14ac:dyDescent="0.55000000000000004">
      <c r="A152" s="4"/>
      <c r="B152" s="5" t="s">
        <v>483</v>
      </c>
      <c r="C152" s="5" t="s">
        <v>484</v>
      </c>
      <c r="D152" s="4" t="s">
        <v>21</v>
      </c>
      <c r="E152" s="5" t="s">
        <v>485</v>
      </c>
      <c r="F152" s="4" t="s">
        <v>39</v>
      </c>
      <c r="G152" s="5"/>
      <c r="H152" s="4" t="s">
        <v>39</v>
      </c>
    </row>
    <row r="153" spans="1:8" x14ac:dyDescent="0.55000000000000004">
      <c r="A153" s="4"/>
      <c r="B153" s="5" t="s">
        <v>486</v>
      </c>
      <c r="C153" s="5" t="s">
        <v>487</v>
      </c>
      <c r="D153" s="4" t="s">
        <v>13</v>
      </c>
      <c r="E153" s="5" t="s">
        <v>488</v>
      </c>
      <c r="F153" s="4" t="s">
        <v>39</v>
      </c>
      <c r="G153" s="5"/>
      <c r="H153" s="4" t="s">
        <v>39</v>
      </c>
    </row>
    <row r="154" spans="1:8" x14ac:dyDescent="0.55000000000000004">
      <c r="A154" s="4"/>
      <c r="B154" s="5" t="s">
        <v>489</v>
      </c>
      <c r="C154" s="5" t="s">
        <v>489</v>
      </c>
      <c r="D154" s="4" t="s">
        <v>21</v>
      </c>
      <c r="E154" s="5" t="s">
        <v>490</v>
      </c>
      <c r="F154" s="4" t="s">
        <v>491</v>
      </c>
      <c r="G154" s="5" t="s">
        <v>492</v>
      </c>
      <c r="H154" s="4" t="s">
        <v>24</v>
      </c>
    </row>
    <row r="155" spans="1:8" x14ac:dyDescent="0.55000000000000004">
      <c r="A155" s="4"/>
      <c r="B155" s="5" t="s">
        <v>493</v>
      </c>
      <c r="C155" s="5" t="s">
        <v>493</v>
      </c>
      <c r="D155" s="4" t="s">
        <v>21</v>
      </c>
      <c r="E155" s="5" t="s">
        <v>494</v>
      </c>
      <c r="F155" s="4" t="s">
        <v>39</v>
      </c>
      <c r="G155" s="5"/>
      <c r="H155" s="4" t="s">
        <v>39</v>
      </c>
    </row>
    <row r="156" spans="1:8" x14ac:dyDescent="0.55000000000000004">
      <c r="A156" s="4"/>
      <c r="B156" s="5" t="s">
        <v>495</v>
      </c>
      <c r="C156" s="5" t="s">
        <v>495</v>
      </c>
      <c r="D156" s="4" t="s">
        <v>132</v>
      </c>
      <c r="E156" s="5" t="s">
        <v>496</v>
      </c>
      <c r="F156" s="4" t="s">
        <v>39</v>
      </c>
      <c r="G156" s="5"/>
      <c r="H156" s="4" t="s">
        <v>39</v>
      </c>
    </row>
    <row r="157" spans="1:8" x14ac:dyDescent="0.55000000000000004">
      <c r="A157" s="4"/>
      <c r="B157" s="5" t="s">
        <v>497</v>
      </c>
      <c r="C157" s="5" t="s">
        <v>497</v>
      </c>
      <c r="D157" s="4" t="s">
        <v>13</v>
      </c>
      <c r="E157" s="5" t="s">
        <v>498</v>
      </c>
      <c r="F157" s="4" t="s">
        <v>134</v>
      </c>
      <c r="G157" s="5" t="s">
        <v>499</v>
      </c>
      <c r="H157" s="4" t="s">
        <v>144</v>
      </c>
    </row>
    <row r="158" spans="1:8" x14ac:dyDescent="0.55000000000000004">
      <c r="A158" s="4"/>
      <c r="B158" s="5" t="s">
        <v>500</v>
      </c>
      <c r="C158" s="5" t="s">
        <v>500</v>
      </c>
      <c r="D158" s="4" t="s">
        <v>46</v>
      </c>
      <c r="E158" s="5" t="s">
        <v>501</v>
      </c>
      <c r="F158" s="4"/>
      <c r="G158" s="5" t="s">
        <v>502</v>
      </c>
      <c r="H158" s="4" t="s">
        <v>144</v>
      </c>
    </row>
    <row r="159" spans="1:8" x14ac:dyDescent="0.55000000000000004">
      <c r="A159" s="4"/>
      <c r="B159" s="5" t="s">
        <v>503</v>
      </c>
      <c r="C159" s="5" t="s">
        <v>503</v>
      </c>
      <c r="D159" s="4" t="s">
        <v>132</v>
      </c>
      <c r="E159" s="5" t="s">
        <v>504</v>
      </c>
      <c r="F159" s="4" t="s">
        <v>39</v>
      </c>
      <c r="G159" s="5"/>
      <c r="H159" s="4" t="s">
        <v>39</v>
      </c>
    </row>
    <row r="160" spans="1:8" x14ac:dyDescent="0.55000000000000004">
      <c r="A160" s="4"/>
      <c r="B160" s="5" t="s">
        <v>505</v>
      </c>
      <c r="C160" s="5" t="s">
        <v>505</v>
      </c>
      <c r="D160" s="4" t="s">
        <v>21</v>
      </c>
      <c r="E160" s="5" t="s">
        <v>506</v>
      </c>
      <c r="F160" s="4" t="s">
        <v>116</v>
      </c>
      <c r="G160" s="5" t="s">
        <v>507</v>
      </c>
      <c r="H160" s="4" t="s">
        <v>508</v>
      </c>
    </row>
    <row r="161" spans="1:8" x14ac:dyDescent="0.55000000000000004">
      <c r="A161" s="4"/>
      <c r="B161" s="5" t="s">
        <v>509</v>
      </c>
      <c r="C161" s="5" t="s">
        <v>509</v>
      </c>
      <c r="D161" s="4" t="s">
        <v>21</v>
      </c>
      <c r="E161" s="5" t="s">
        <v>510</v>
      </c>
      <c r="F161" s="4" t="s">
        <v>116</v>
      </c>
      <c r="G161" s="5" t="s">
        <v>507</v>
      </c>
      <c r="H161" s="4" t="s">
        <v>511</v>
      </c>
    </row>
    <row r="162" spans="1:8" x14ac:dyDescent="0.55000000000000004">
      <c r="A162" s="4"/>
      <c r="B162" s="5" t="s">
        <v>512</v>
      </c>
      <c r="C162" s="5" t="s">
        <v>512</v>
      </c>
      <c r="D162" s="4" t="s">
        <v>13</v>
      </c>
      <c r="E162" s="5" t="s">
        <v>513</v>
      </c>
      <c r="F162" s="4" t="s">
        <v>39</v>
      </c>
      <c r="G162" s="5"/>
      <c r="H162" s="4" t="s">
        <v>39</v>
      </c>
    </row>
    <row r="163" spans="1:8" x14ac:dyDescent="0.55000000000000004">
      <c r="A163" s="4"/>
      <c r="B163" s="5" t="s">
        <v>514</v>
      </c>
      <c r="C163" s="5" t="s">
        <v>514</v>
      </c>
      <c r="D163" s="4" t="s">
        <v>468</v>
      </c>
      <c r="E163" s="5" t="s">
        <v>515</v>
      </c>
      <c r="F163" s="4" t="s">
        <v>39</v>
      </c>
      <c r="G163" s="5"/>
      <c r="H163" s="4" t="s">
        <v>39</v>
      </c>
    </row>
    <row r="164" spans="1:8" x14ac:dyDescent="0.55000000000000004">
      <c r="A164" s="4"/>
      <c r="B164" s="5" t="s">
        <v>516</v>
      </c>
      <c r="C164" s="5" t="s">
        <v>517</v>
      </c>
      <c r="D164" s="4" t="s">
        <v>13</v>
      </c>
      <c r="E164" s="5" t="s">
        <v>518</v>
      </c>
      <c r="F164" s="4" t="s">
        <v>39</v>
      </c>
      <c r="G164" s="5" t="s">
        <v>519</v>
      </c>
      <c r="H164" s="4" t="s">
        <v>39</v>
      </c>
    </row>
    <row r="165" spans="1:8" x14ac:dyDescent="0.55000000000000004">
      <c r="A165" s="4"/>
      <c r="B165" s="5" t="s">
        <v>520</v>
      </c>
      <c r="C165" s="5" t="s">
        <v>521</v>
      </c>
      <c r="D165" s="4" t="s">
        <v>132</v>
      </c>
      <c r="E165" s="5" t="s">
        <v>522</v>
      </c>
      <c r="F165" s="4" t="s">
        <v>116</v>
      </c>
      <c r="G165" s="5" t="s">
        <v>523</v>
      </c>
      <c r="H165" s="4" t="s">
        <v>144</v>
      </c>
    </row>
    <row r="166" spans="1:8" x14ac:dyDescent="0.55000000000000004">
      <c r="A166" s="4"/>
      <c r="B166" s="5" t="s">
        <v>524</v>
      </c>
      <c r="C166" s="5" t="s">
        <v>524</v>
      </c>
      <c r="D166" s="4" t="s">
        <v>21</v>
      </c>
      <c r="E166" s="5" t="s">
        <v>525</v>
      </c>
      <c r="F166" s="4" t="s">
        <v>428</v>
      </c>
      <c r="G166" s="5"/>
      <c r="H166" s="4" t="s">
        <v>24</v>
      </c>
    </row>
    <row r="167" spans="1:8" x14ac:dyDescent="0.55000000000000004">
      <c r="A167" s="4"/>
      <c r="B167" s="5" t="s">
        <v>526</v>
      </c>
      <c r="C167" s="5" t="s">
        <v>526</v>
      </c>
      <c r="D167" s="4" t="s">
        <v>21</v>
      </c>
      <c r="E167" s="5" t="s">
        <v>527</v>
      </c>
      <c r="F167" s="4" t="s">
        <v>39</v>
      </c>
      <c r="G167" s="5"/>
      <c r="H167" s="4" t="s">
        <v>39</v>
      </c>
    </row>
    <row r="168" spans="1:8" x14ac:dyDescent="0.55000000000000004">
      <c r="A168" s="4"/>
      <c r="B168" s="5" t="s">
        <v>528</v>
      </c>
      <c r="C168" s="5" t="s">
        <v>528</v>
      </c>
      <c r="D168" s="4" t="s">
        <v>21</v>
      </c>
      <c r="E168" s="5" t="s">
        <v>529</v>
      </c>
      <c r="F168" s="4" t="s">
        <v>39</v>
      </c>
      <c r="G168" s="5"/>
      <c r="H168" s="4" t="s">
        <v>39</v>
      </c>
    </row>
    <row r="169" spans="1:8" x14ac:dyDescent="0.55000000000000004">
      <c r="A169" s="4"/>
      <c r="B169" s="5" t="s">
        <v>530</v>
      </c>
      <c r="C169" s="5" t="s">
        <v>530</v>
      </c>
      <c r="D169" s="4" t="s">
        <v>468</v>
      </c>
      <c r="E169" s="5" t="s">
        <v>531</v>
      </c>
      <c r="F169" s="4" t="s">
        <v>39</v>
      </c>
      <c r="G169" s="5"/>
      <c r="H169" s="4" t="s">
        <v>39</v>
      </c>
    </row>
    <row r="170" spans="1:8" x14ac:dyDescent="0.55000000000000004">
      <c r="A170" s="4"/>
      <c r="B170" s="5" t="s">
        <v>532</v>
      </c>
      <c r="C170" s="5" t="s">
        <v>532</v>
      </c>
      <c r="D170" s="4" t="s">
        <v>132</v>
      </c>
      <c r="E170" s="5" t="s">
        <v>533</v>
      </c>
      <c r="F170" s="4" t="s">
        <v>116</v>
      </c>
      <c r="G170" s="5"/>
      <c r="H170" s="4" t="s">
        <v>534</v>
      </c>
    </row>
    <row r="171" spans="1:8" x14ac:dyDescent="0.55000000000000004">
      <c r="A171" s="4"/>
      <c r="B171" s="5" t="s">
        <v>535</v>
      </c>
      <c r="C171" s="5" t="s">
        <v>535</v>
      </c>
      <c r="D171" s="4" t="s">
        <v>132</v>
      </c>
      <c r="E171" s="5" t="s">
        <v>536</v>
      </c>
      <c r="F171" s="4" t="s">
        <v>116</v>
      </c>
      <c r="G171" s="5" t="s">
        <v>537</v>
      </c>
      <c r="H171" s="4" t="s">
        <v>538</v>
      </c>
    </row>
    <row r="172" spans="1:8" x14ac:dyDescent="0.55000000000000004">
      <c r="A172" s="4"/>
      <c r="B172" s="5" t="s">
        <v>539</v>
      </c>
      <c r="C172" s="5" t="s">
        <v>539</v>
      </c>
      <c r="D172" s="4" t="s">
        <v>132</v>
      </c>
      <c r="E172" s="5" t="s">
        <v>540</v>
      </c>
      <c r="F172" s="4"/>
      <c r="G172" s="5" t="s">
        <v>541</v>
      </c>
      <c r="H172" s="4" t="s">
        <v>542</v>
      </c>
    </row>
    <row r="173" spans="1:8" x14ac:dyDescent="0.55000000000000004">
      <c r="A173" s="4"/>
      <c r="B173" s="5" t="s">
        <v>543</v>
      </c>
      <c r="C173" s="5" t="s">
        <v>544</v>
      </c>
      <c r="D173" s="4" t="s">
        <v>13</v>
      </c>
      <c r="E173" s="5" t="s">
        <v>545</v>
      </c>
      <c r="F173" s="4" t="s">
        <v>116</v>
      </c>
      <c r="G173" s="5"/>
      <c r="H173" s="4" t="s">
        <v>24</v>
      </c>
    </row>
    <row r="174" spans="1:8" x14ac:dyDescent="0.55000000000000004">
      <c r="A174" s="4"/>
      <c r="B174" s="5" t="s">
        <v>135</v>
      </c>
      <c r="C174" s="5" t="s">
        <v>546</v>
      </c>
      <c r="D174" s="4" t="s">
        <v>21</v>
      </c>
      <c r="E174" s="5" t="s">
        <v>547</v>
      </c>
      <c r="F174" s="4" t="s">
        <v>251</v>
      </c>
      <c r="G174" s="5" t="s">
        <v>548</v>
      </c>
      <c r="H174" s="4" t="s">
        <v>135</v>
      </c>
    </row>
    <row r="175" spans="1:8" x14ac:dyDescent="0.55000000000000004">
      <c r="A175" s="4"/>
      <c r="B175" s="5" t="s">
        <v>549</v>
      </c>
      <c r="C175" s="5" t="s">
        <v>550</v>
      </c>
      <c r="D175" s="4" t="s">
        <v>21</v>
      </c>
      <c r="E175" s="5" t="s">
        <v>551</v>
      </c>
      <c r="F175" s="4" t="s">
        <v>251</v>
      </c>
      <c r="G175" s="5" t="s">
        <v>548</v>
      </c>
      <c r="H175" s="4" t="s">
        <v>135</v>
      </c>
    </row>
    <row r="176" spans="1:8" x14ac:dyDescent="0.55000000000000004">
      <c r="A176" s="4"/>
      <c r="B176" s="5" t="s">
        <v>552</v>
      </c>
      <c r="C176" s="5" t="s">
        <v>131</v>
      </c>
      <c r="D176" s="4" t="s">
        <v>132</v>
      </c>
      <c r="E176" s="5" t="s">
        <v>133</v>
      </c>
      <c r="F176" s="4" t="s">
        <v>251</v>
      </c>
      <c r="G176" s="5" t="s">
        <v>553</v>
      </c>
      <c r="H176" s="4" t="s">
        <v>135</v>
      </c>
    </row>
    <row r="177" spans="1:8" x14ac:dyDescent="0.55000000000000004">
      <c r="A177" s="4"/>
      <c r="B177" s="5" t="s">
        <v>554</v>
      </c>
      <c r="C177" s="5" t="s">
        <v>555</v>
      </c>
      <c r="D177" s="4" t="s">
        <v>13</v>
      </c>
      <c r="E177" s="5" t="s">
        <v>556</v>
      </c>
      <c r="F177" s="4" t="s">
        <v>251</v>
      </c>
      <c r="G177" s="5" t="s">
        <v>548</v>
      </c>
      <c r="H177" s="4" t="s">
        <v>135</v>
      </c>
    </row>
    <row r="178" spans="1:8" x14ac:dyDescent="0.55000000000000004">
      <c r="A178" s="4"/>
      <c r="B178" s="5" t="s">
        <v>557</v>
      </c>
      <c r="C178" s="5" t="s">
        <v>558</v>
      </c>
      <c r="D178" s="4" t="s">
        <v>42</v>
      </c>
      <c r="E178" s="5" t="s">
        <v>559</v>
      </c>
      <c r="F178" s="4" t="s">
        <v>251</v>
      </c>
      <c r="G178" s="5" t="s">
        <v>560</v>
      </c>
      <c r="H178" s="4" t="s">
        <v>135</v>
      </c>
    </row>
    <row r="179" spans="1:8" x14ac:dyDescent="0.55000000000000004">
      <c r="A179" s="4"/>
      <c r="B179" s="5" t="s">
        <v>561</v>
      </c>
      <c r="C179" s="5" t="s">
        <v>562</v>
      </c>
      <c r="D179" s="4" t="s">
        <v>42</v>
      </c>
      <c r="E179" s="5" t="s">
        <v>563</v>
      </c>
      <c r="F179" s="4" t="s">
        <v>251</v>
      </c>
      <c r="G179" s="5" t="s">
        <v>564</v>
      </c>
      <c r="H179" s="4" t="s">
        <v>135</v>
      </c>
    </row>
    <row r="180" spans="1:8" x14ac:dyDescent="0.55000000000000004">
      <c r="A180" s="4"/>
      <c r="B180" s="5" t="s">
        <v>565</v>
      </c>
      <c r="C180" s="5" t="s">
        <v>566</v>
      </c>
      <c r="D180" s="4" t="s">
        <v>13</v>
      </c>
      <c r="E180" s="5" t="s">
        <v>567</v>
      </c>
      <c r="F180" s="4" t="s">
        <v>251</v>
      </c>
      <c r="G180" s="5" t="s">
        <v>548</v>
      </c>
      <c r="H180" s="4" t="s">
        <v>135</v>
      </c>
    </row>
    <row r="181" spans="1:8" x14ac:dyDescent="0.55000000000000004">
      <c r="A181" s="4"/>
      <c r="B181" s="5" t="s">
        <v>568</v>
      </c>
      <c r="C181" s="5" t="s">
        <v>569</v>
      </c>
      <c r="D181" s="4" t="s">
        <v>13</v>
      </c>
      <c r="E181" s="5" t="s">
        <v>570</v>
      </c>
      <c r="F181" s="4" t="s">
        <v>251</v>
      </c>
      <c r="G181" s="5" t="s">
        <v>548</v>
      </c>
      <c r="H181" s="4" t="s">
        <v>135</v>
      </c>
    </row>
    <row r="182" spans="1:8" x14ac:dyDescent="0.55000000000000004">
      <c r="A182" s="4"/>
      <c r="B182" s="5" t="s">
        <v>571</v>
      </c>
      <c r="C182" s="5" t="s">
        <v>572</v>
      </c>
      <c r="D182" s="4" t="s">
        <v>372</v>
      </c>
      <c r="E182" s="5" t="s">
        <v>573</v>
      </c>
      <c r="F182" s="4"/>
      <c r="G182" s="5" t="s">
        <v>574</v>
      </c>
      <c r="H182" s="4" t="s">
        <v>135</v>
      </c>
    </row>
    <row r="183" spans="1:8" x14ac:dyDescent="0.55000000000000004">
      <c r="A183" s="4"/>
      <c r="B183" s="5" t="s">
        <v>575</v>
      </c>
      <c r="C183" s="5" t="s">
        <v>576</v>
      </c>
      <c r="D183" s="4" t="s">
        <v>42</v>
      </c>
      <c r="E183" s="5" t="s">
        <v>577</v>
      </c>
      <c r="F183" s="4" t="s">
        <v>240</v>
      </c>
      <c r="G183" s="5"/>
      <c r="H183" s="4" t="s">
        <v>575</v>
      </c>
    </row>
    <row r="184" spans="1:8" x14ac:dyDescent="0.55000000000000004">
      <c r="A184" s="4"/>
      <c r="B184" s="5" t="s">
        <v>578</v>
      </c>
      <c r="C184" s="5" t="s">
        <v>579</v>
      </c>
      <c r="D184" s="4" t="s">
        <v>21</v>
      </c>
      <c r="E184" s="5" t="s">
        <v>580</v>
      </c>
      <c r="F184" s="4" t="s">
        <v>581</v>
      </c>
      <c r="G184" s="5" t="s">
        <v>582</v>
      </c>
      <c r="H184" s="4"/>
    </row>
    <row r="185" spans="1:8" x14ac:dyDescent="0.55000000000000004">
      <c r="A185" s="4"/>
      <c r="B185" s="5" t="s">
        <v>583</v>
      </c>
      <c r="C185" s="5" t="s">
        <v>584</v>
      </c>
      <c r="D185" s="4" t="s">
        <v>13</v>
      </c>
      <c r="E185" s="5" t="s">
        <v>585</v>
      </c>
      <c r="F185" s="4" t="s">
        <v>286</v>
      </c>
      <c r="G185" s="5"/>
      <c r="H185" s="4" t="s">
        <v>286</v>
      </c>
    </row>
    <row r="186" spans="1:8" x14ac:dyDescent="0.55000000000000004">
      <c r="A186" s="4"/>
      <c r="B186" s="5" t="s">
        <v>586</v>
      </c>
      <c r="C186" s="5" t="s">
        <v>587</v>
      </c>
      <c r="D186" s="4" t="s">
        <v>21</v>
      </c>
      <c r="E186" s="5" t="s">
        <v>588</v>
      </c>
      <c r="F186" s="4" t="s">
        <v>251</v>
      </c>
      <c r="G186" s="5" t="s">
        <v>252</v>
      </c>
      <c r="H186" s="4" t="s">
        <v>586</v>
      </c>
    </row>
    <row r="187" spans="1:8" x14ac:dyDescent="0.55000000000000004">
      <c r="A187" s="4"/>
      <c r="B187" s="5" t="s">
        <v>589</v>
      </c>
      <c r="C187" s="5" t="s">
        <v>590</v>
      </c>
      <c r="D187" s="4" t="s">
        <v>13</v>
      </c>
      <c r="E187" s="5" t="s">
        <v>591</v>
      </c>
      <c r="F187" s="4" t="s">
        <v>251</v>
      </c>
      <c r="G187" s="5"/>
      <c r="H187" s="4" t="s">
        <v>586</v>
      </c>
    </row>
    <row r="188" spans="1:8" x14ac:dyDescent="0.55000000000000004">
      <c r="A188" s="4"/>
      <c r="B188" s="5" t="s">
        <v>592</v>
      </c>
      <c r="C188" s="5" t="s">
        <v>593</v>
      </c>
      <c r="D188" s="4" t="s">
        <v>21</v>
      </c>
      <c r="E188" s="5" t="s">
        <v>594</v>
      </c>
      <c r="F188" s="4" t="s">
        <v>251</v>
      </c>
      <c r="G188" s="5" t="s">
        <v>595</v>
      </c>
      <c r="H188" s="4" t="s">
        <v>586</v>
      </c>
    </row>
    <row r="189" spans="1:8" x14ac:dyDescent="0.55000000000000004">
      <c r="A189" s="4"/>
      <c r="B189" s="5" t="s">
        <v>596</v>
      </c>
      <c r="C189" s="5" t="s">
        <v>597</v>
      </c>
      <c r="D189" s="9" t="s">
        <v>46</v>
      </c>
      <c r="E189" s="5" t="s">
        <v>598</v>
      </c>
      <c r="F189" s="4" t="s">
        <v>39</v>
      </c>
      <c r="G189" s="5"/>
      <c r="H189" s="4" t="s">
        <v>39</v>
      </c>
    </row>
    <row r="190" spans="1:8" x14ac:dyDescent="0.55000000000000004">
      <c r="A190" s="4"/>
      <c r="B190" s="5" t="s">
        <v>599</v>
      </c>
      <c r="C190" s="5" t="s">
        <v>600</v>
      </c>
      <c r="D190" s="4" t="s">
        <v>601</v>
      </c>
      <c r="E190" s="5" t="s">
        <v>602</v>
      </c>
      <c r="F190" s="4" t="s">
        <v>39</v>
      </c>
      <c r="G190" s="5"/>
      <c r="H190" s="4" t="s">
        <v>39</v>
      </c>
    </row>
    <row r="191" spans="1:8" x14ac:dyDescent="0.55000000000000004">
      <c r="A191" s="4"/>
      <c r="B191" s="5" t="s">
        <v>603</v>
      </c>
      <c r="C191" s="5" t="s">
        <v>603</v>
      </c>
      <c r="D191" s="4" t="s">
        <v>13</v>
      </c>
      <c r="E191" s="5" t="s">
        <v>604</v>
      </c>
      <c r="F191" s="4"/>
      <c r="G191" s="5"/>
      <c r="H191" s="4" t="s">
        <v>57</v>
      </c>
    </row>
    <row r="192" spans="1:8" x14ac:dyDescent="0.55000000000000004">
      <c r="A192" s="4">
        <v>7</v>
      </c>
      <c r="B192" s="5" t="s">
        <v>605</v>
      </c>
      <c r="C192" s="5" t="s">
        <v>606</v>
      </c>
      <c r="D192" s="4" t="s">
        <v>21</v>
      </c>
      <c r="E192" s="5" t="s">
        <v>607</v>
      </c>
      <c r="F192" s="4" t="s">
        <v>28</v>
      </c>
      <c r="G192" s="5" t="s">
        <v>608</v>
      </c>
      <c r="H192" s="3" t="s">
        <v>609</v>
      </c>
    </row>
    <row r="193" spans="1:8" x14ac:dyDescent="0.55000000000000004">
      <c r="A193" s="4"/>
      <c r="B193" s="5" t="s">
        <v>610</v>
      </c>
      <c r="C193" s="5" t="s">
        <v>611</v>
      </c>
      <c r="D193" s="4" t="s">
        <v>21</v>
      </c>
      <c r="E193" s="5" t="s">
        <v>612</v>
      </c>
      <c r="F193" s="4" t="s">
        <v>39</v>
      </c>
      <c r="G193" s="5"/>
      <c r="H193" s="4" t="s">
        <v>39</v>
      </c>
    </row>
    <row r="194" spans="1:8" x14ac:dyDescent="0.55000000000000004">
      <c r="A194" s="4">
        <v>37</v>
      </c>
      <c r="B194" s="5" t="s">
        <v>613</v>
      </c>
      <c r="C194" s="5" t="s">
        <v>614</v>
      </c>
      <c r="D194" s="4" t="s">
        <v>46</v>
      </c>
      <c r="E194" s="5" t="s">
        <v>615</v>
      </c>
      <c r="F194" s="4" t="s">
        <v>28</v>
      </c>
      <c r="G194" s="5"/>
      <c r="H194" s="4" t="s">
        <v>616</v>
      </c>
    </row>
    <row r="195" spans="1:8" x14ac:dyDescent="0.55000000000000004">
      <c r="A195" s="4">
        <v>60</v>
      </c>
      <c r="B195" s="5" t="s">
        <v>617</v>
      </c>
      <c r="C195" s="5" t="s">
        <v>618</v>
      </c>
      <c r="D195" s="4" t="s">
        <v>21</v>
      </c>
      <c r="E195" s="5" t="s">
        <v>619</v>
      </c>
      <c r="F195" s="4" t="s">
        <v>28</v>
      </c>
      <c r="G195" s="5" t="s">
        <v>620</v>
      </c>
      <c r="H195" s="4"/>
    </row>
    <row r="196" spans="1:8" x14ac:dyDescent="0.55000000000000004">
      <c r="A196" s="4">
        <v>77</v>
      </c>
      <c r="B196" s="5" t="s">
        <v>621</v>
      </c>
      <c r="C196" s="5" t="s">
        <v>622</v>
      </c>
      <c r="D196" s="4" t="s">
        <v>21</v>
      </c>
      <c r="E196" s="5" t="s">
        <v>623</v>
      </c>
      <c r="F196" s="4" t="s">
        <v>28</v>
      </c>
      <c r="G196" s="5" t="s">
        <v>620</v>
      </c>
      <c r="H196" s="4"/>
    </row>
    <row r="197" spans="1:8" x14ac:dyDescent="0.55000000000000004">
      <c r="A197" s="4"/>
      <c r="B197" s="5" t="s">
        <v>624</v>
      </c>
      <c r="C197" s="5" t="s">
        <v>625</v>
      </c>
      <c r="D197" s="4" t="s">
        <v>42</v>
      </c>
      <c r="E197" s="5" t="s">
        <v>626</v>
      </c>
      <c r="F197" s="4"/>
      <c r="G197" s="5"/>
      <c r="H197" s="4"/>
    </row>
    <row r="198" spans="1:8" x14ac:dyDescent="0.55000000000000004">
      <c r="A198" s="4"/>
      <c r="B198" s="5" t="s">
        <v>627</v>
      </c>
      <c r="C198" s="5" t="s">
        <v>628</v>
      </c>
      <c r="D198" s="4" t="s">
        <v>21</v>
      </c>
      <c r="E198" s="5" t="s">
        <v>629</v>
      </c>
      <c r="F198" s="4"/>
      <c r="G198" s="5"/>
      <c r="H198" s="4"/>
    </row>
    <row r="199" spans="1:8" x14ac:dyDescent="0.55000000000000004">
      <c r="A199" s="4"/>
      <c r="B199" s="5" t="s">
        <v>630</v>
      </c>
      <c r="C199" s="5" t="s">
        <v>631</v>
      </c>
      <c r="D199" s="4" t="s">
        <v>21</v>
      </c>
      <c r="E199" s="5" t="s">
        <v>632</v>
      </c>
      <c r="F199" s="4" t="s">
        <v>39</v>
      </c>
      <c r="G199" s="5"/>
      <c r="H199" s="4" t="s">
        <v>39</v>
      </c>
    </row>
    <row r="200" spans="1:8" x14ac:dyDescent="0.55000000000000004">
      <c r="A200" s="4"/>
      <c r="B200" s="5" t="s">
        <v>633</v>
      </c>
      <c r="C200" s="5" t="s">
        <v>634</v>
      </c>
      <c r="D200" s="4" t="s">
        <v>21</v>
      </c>
      <c r="E200" s="5" t="s">
        <v>635</v>
      </c>
      <c r="F200" s="4" t="s">
        <v>39</v>
      </c>
      <c r="G200" s="5"/>
      <c r="H200" s="4" t="s">
        <v>39</v>
      </c>
    </row>
    <row r="201" spans="1:8" x14ac:dyDescent="0.55000000000000004">
      <c r="A201" s="4"/>
      <c r="B201" s="5" t="s">
        <v>636</v>
      </c>
      <c r="C201" s="5" t="s">
        <v>637</v>
      </c>
      <c r="D201" s="4" t="s">
        <v>21</v>
      </c>
      <c r="E201" s="5" t="s">
        <v>638</v>
      </c>
      <c r="F201" s="4" t="s">
        <v>39</v>
      </c>
      <c r="G201" s="5"/>
      <c r="H201" s="4" t="s">
        <v>39</v>
      </c>
    </row>
    <row r="202" spans="1:8" x14ac:dyDescent="0.55000000000000004">
      <c r="A202" s="4">
        <v>30</v>
      </c>
      <c r="B202" s="5" t="s">
        <v>639</v>
      </c>
      <c r="C202" s="5" t="s">
        <v>640</v>
      </c>
      <c r="D202" s="4" t="s">
        <v>21</v>
      </c>
      <c r="E202" s="5" t="s">
        <v>641</v>
      </c>
      <c r="F202" s="4" t="s">
        <v>28</v>
      </c>
      <c r="G202" s="5" t="s">
        <v>642</v>
      </c>
      <c r="H202" s="4" t="s">
        <v>643</v>
      </c>
    </row>
    <row r="203" spans="1:8" x14ac:dyDescent="0.55000000000000004">
      <c r="A203" s="4">
        <v>37</v>
      </c>
      <c r="B203" s="5" t="s">
        <v>644</v>
      </c>
      <c r="C203" s="5" t="s">
        <v>645</v>
      </c>
      <c r="D203" s="4" t="s">
        <v>13</v>
      </c>
      <c r="E203" s="5" t="s">
        <v>646</v>
      </c>
      <c r="F203" s="4" t="s">
        <v>28</v>
      </c>
      <c r="G203" s="5"/>
      <c r="H203" s="4" t="s">
        <v>24</v>
      </c>
    </row>
    <row r="204" spans="1:8" x14ac:dyDescent="0.55000000000000004">
      <c r="A204" s="4">
        <v>37</v>
      </c>
      <c r="B204" s="5" t="s">
        <v>647</v>
      </c>
      <c r="C204" s="5" t="s">
        <v>648</v>
      </c>
      <c r="D204" s="4" t="s">
        <v>132</v>
      </c>
      <c r="E204" s="5" t="s">
        <v>649</v>
      </c>
      <c r="F204" s="4" t="s">
        <v>28</v>
      </c>
      <c r="G204" s="5"/>
      <c r="H204" s="4" t="s">
        <v>24</v>
      </c>
    </row>
    <row r="205" spans="1:8" x14ac:dyDescent="0.55000000000000004">
      <c r="A205" s="4"/>
      <c r="B205" s="5" t="s">
        <v>650</v>
      </c>
      <c r="C205" s="5" t="s">
        <v>651</v>
      </c>
      <c r="D205" s="4" t="s">
        <v>13</v>
      </c>
      <c r="E205" s="5" t="s">
        <v>652</v>
      </c>
      <c r="F205" s="4" t="s">
        <v>650</v>
      </c>
      <c r="G205" s="5"/>
      <c r="H205" s="4"/>
    </row>
    <row r="206" spans="1:8" x14ac:dyDescent="0.55000000000000004">
      <c r="A206" s="4"/>
      <c r="B206" s="5" t="s">
        <v>653</v>
      </c>
      <c r="C206" s="5" t="s">
        <v>654</v>
      </c>
      <c r="D206" s="4" t="s">
        <v>372</v>
      </c>
      <c r="E206" s="5" t="s">
        <v>655</v>
      </c>
      <c r="F206" s="4" t="s">
        <v>650</v>
      </c>
      <c r="G206" s="5"/>
      <c r="H206" s="4" t="s">
        <v>39</v>
      </c>
    </row>
    <row r="207" spans="1:8" x14ac:dyDescent="0.55000000000000004">
      <c r="A207" s="4"/>
      <c r="B207" s="5" t="s">
        <v>656</v>
      </c>
      <c r="C207" s="5" t="s">
        <v>657</v>
      </c>
      <c r="D207" s="4" t="s">
        <v>13</v>
      </c>
      <c r="E207" s="5" t="s">
        <v>658</v>
      </c>
      <c r="F207" s="4" t="s">
        <v>650</v>
      </c>
      <c r="G207" s="5"/>
      <c r="H207" s="4" t="s">
        <v>39</v>
      </c>
    </row>
    <row r="208" spans="1:8" x14ac:dyDescent="0.55000000000000004">
      <c r="A208" s="4"/>
      <c r="B208" s="5" t="s">
        <v>659</v>
      </c>
      <c r="C208" s="5" t="s">
        <v>660</v>
      </c>
      <c r="D208" s="4" t="s">
        <v>21</v>
      </c>
      <c r="E208" s="5" t="s">
        <v>661</v>
      </c>
      <c r="F208" s="4" t="s">
        <v>650</v>
      </c>
      <c r="G208" s="5"/>
      <c r="H208" s="4" t="s">
        <v>39</v>
      </c>
    </row>
    <row r="209" spans="1:8" x14ac:dyDescent="0.55000000000000004">
      <c r="A209" s="4"/>
      <c r="B209" s="5" t="s">
        <v>662</v>
      </c>
      <c r="C209" s="5" t="s">
        <v>663</v>
      </c>
      <c r="D209" s="4" t="s">
        <v>42</v>
      </c>
      <c r="E209" s="5" t="s">
        <v>664</v>
      </c>
      <c r="F209" s="4" t="s">
        <v>240</v>
      </c>
      <c r="G209" s="5"/>
      <c r="H209" s="4" t="s">
        <v>662</v>
      </c>
    </row>
    <row r="210" spans="1:8" x14ac:dyDescent="0.55000000000000004">
      <c r="A210" s="4"/>
      <c r="B210" s="5" t="s">
        <v>665</v>
      </c>
      <c r="C210" s="5" t="s">
        <v>666</v>
      </c>
      <c r="D210" s="4" t="s">
        <v>42</v>
      </c>
      <c r="E210" s="5" t="s">
        <v>667</v>
      </c>
      <c r="F210" s="4" t="s">
        <v>668</v>
      </c>
      <c r="G210" s="5"/>
      <c r="H210" s="4" t="s">
        <v>24</v>
      </c>
    </row>
    <row r="211" spans="1:8" x14ac:dyDescent="0.55000000000000004">
      <c r="A211" s="4"/>
      <c r="B211" s="5" t="s">
        <v>669</v>
      </c>
      <c r="C211" s="5" t="s">
        <v>670</v>
      </c>
      <c r="D211" s="4" t="s">
        <v>46</v>
      </c>
      <c r="E211" s="5" t="s">
        <v>671</v>
      </c>
      <c r="F211" s="4" t="s">
        <v>672</v>
      </c>
      <c r="G211" s="5"/>
      <c r="H211" s="4" t="s">
        <v>24</v>
      </c>
    </row>
    <row r="212" spans="1:8" x14ac:dyDescent="0.55000000000000004">
      <c r="A212" s="4"/>
      <c r="B212" s="5" t="s">
        <v>673</v>
      </c>
      <c r="C212" s="5" t="s">
        <v>674</v>
      </c>
      <c r="D212" s="4" t="s">
        <v>13</v>
      </c>
      <c r="E212" s="5" t="s">
        <v>675</v>
      </c>
      <c r="F212" s="4"/>
      <c r="G212" s="5" t="s">
        <v>676</v>
      </c>
      <c r="H212" s="4" t="s">
        <v>57</v>
      </c>
    </row>
    <row r="213" spans="1:8" x14ac:dyDescent="0.55000000000000004">
      <c r="A213" s="4"/>
      <c r="B213" s="5" t="s">
        <v>677</v>
      </c>
      <c r="C213" s="5" t="s">
        <v>678</v>
      </c>
      <c r="D213" s="4" t="s">
        <v>13</v>
      </c>
      <c r="E213" s="5" t="s">
        <v>679</v>
      </c>
      <c r="F213" s="4" t="s">
        <v>680</v>
      </c>
      <c r="G213" s="5" t="s">
        <v>681</v>
      </c>
      <c r="H213" s="4" t="s">
        <v>24</v>
      </c>
    </row>
    <row r="214" spans="1:8" x14ac:dyDescent="0.55000000000000004">
      <c r="A214" s="4"/>
      <c r="B214" s="5" t="s">
        <v>682</v>
      </c>
      <c r="C214" s="5" t="s">
        <v>683</v>
      </c>
      <c r="D214" s="4" t="s">
        <v>21</v>
      </c>
      <c r="E214" s="5" t="s">
        <v>684</v>
      </c>
      <c r="F214" s="4" t="s">
        <v>393</v>
      </c>
      <c r="G214" s="5" t="s">
        <v>394</v>
      </c>
      <c r="H214" s="4" t="s">
        <v>39</v>
      </c>
    </row>
    <row r="215" spans="1:8" x14ac:dyDescent="0.55000000000000004">
      <c r="A215" s="4"/>
      <c r="B215" s="5" t="s">
        <v>685</v>
      </c>
      <c r="C215" s="5" t="s">
        <v>686</v>
      </c>
      <c r="D215" s="4" t="s">
        <v>372</v>
      </c>
      <c r="E215" s="5" t="s">
        <v>687</v>
      </c>
      <c r="F215" s="4"/>
      <c r="G215" s="5"/>
      <c r="H215" s="4" t="s">
        <v>151</v>
      </c>
    </row>
    <row r="216" spans="1:8" x14ac:dyDescent="0.55000000000000004">
      <c r="A216" s="4"/>
      <c r="B216" s="5" t="s">
        <v>688</v>
      </c>
      <c r="C216" s="5" t="s">
        <v>689</v>
      </c>
      <c r="D216" s="4" t="s">
        <v>21</v>
      </c>
      <c r="E216" s="5" t="s">
        <v>690</v>
      </c>
      <c r="F216" s="4"/>
      <c r="G216" s="5"/>
      <c r="H216" s="4" t="s">
        <v>24</v>
      </c>
    </row>
    <row r="217" spans="1:8" x14ac:dyDescent="0.55000000000000004">
      <c r="A217" s="4"/>
      <c r="B217" s="5" t="s">
        <v>691</v>
      </c>
      <c r="C217" s="5" t="s">
        <v>692</v>
      </c>
      <c r="D217" s="4" t="s">
        <v>42</v>
      </c>
      <c r="E217" s="5" t="s">
        <v>693</v>
      </c>
      <c r="F217" s="4" t="s">
        <v>240</v>
      </c>
      <c r="G217" s="5"/>
      <c r="H217" s="4" t="s">
        <v>691</v>
      </c>
    </row>
    <row r="218" spans="1:8" x14ac:dyDescent="0.55000000000000004">
      <c r="A218" s="4"/>
      <c r="B218" s="5" t="s">
        <v>694</v>
      </c>
      <c r="C218" s="5" t="s">
        <v>695</v>
      </c>
      <c r="D218" s="4" t="s">
        <v>46</v>
      </c>
      <c r="E218" s="5" t="s">
        <v>696</v>
      </c>
      <c r="F218" s="4" t="s">
        <v>672</v>
      </c>
      <c r="G218" s="5"/>
      <c r="H218" s="4"/>
    </row>
    <row r="219" spans="1:8" x14ac:dyDescent="0.55000000000000004">
      <c r="A219" s="4"/>
      <c r="B219" s="5" t="s">
        <v>697</v>
      </c>
      <c r="C219" s="5" t="s">
        <v>698</v>
      </c>
      <c r="D219" s="4" t="s">
        <v>13</v>
      </c>
      <c r="E219" s="5" t="s">
        <v>699</v>
      </c>
      <c r="F219" s="4"/>
      <c r="G219" s="5"/>
      <c r="H219" s="4"/>
    </row>
    <row r="220" spans="1:8" x14ac:dyDescent="0.55000000000000004">
      <c r="A220" s="4"/>
      <c r="B220" s="5" t="s">
        <v>700</v>
      </c>
      <c r="C220" s="5" t="s">
        <v>701</v>
      </c>
      <c r="D220" s="4" t="s">
        <v>46</v>
      </c>
      <c r="E220" s="5" t="s">
        <v>702</v>
      </c>
      <c r="F220" s="4" t="s">
        <v>672</v>
      </c>
      <c r="G220" s="5"/>
      <c r="H220" s="4"/>
    </row>
    <row r="221" spans="1:8" x14ac:dyDescent="0.55000000000000004">
      <c r="A221" s="4"/>
      <c r="B221" s="5" t="s">
        <v>703</v>
      </c>
      <c r="C221" s="5" t="s">
        <v>704</v>
      </c>
      <c r="D221" s="4" t="s">
        <v>46</v>
      </c>
      <c r="E221" s="5" t="s">
        <v>705</v>
      </c>
      <c r="F221" s="4" t="s">
        <v>672</v>
      </c>
      <c r="G221" s="5"/>
      <c r="H221" s="4"/>
    </row>
    <row r="222" spans="1:8" x14ac:dyDescent="0.55000000000000004">
      <c r="A222" s="4"/>
      <c r="B222" s="5" t="s">
        <v>706</v>
      </c>
      <c r="C222" s="5" t="s">
        <v>707</v>
      </c>
      <c r="D222" s="4" t="s">
        <v>46</v>
      </c>
      <c r="E222" s="5" t="s">
        <v>708</v>
      </c>
      <c r="F222" s="4" t="s">
        <v>134</v>
      </c>
      <c r="G222" s="5"/>
      <c r="H222" s="4" t="s">
        <v>151</v>
      </c>
    </row>
    <row r="223" spans="1:8" x14ac:dyDescent="0.55000000000000004">
      <c r="A223" s="4"/>
      <c r="B223" s="5" t="s">
        <v>709</v>
      </c>
      <c r="C223" s="5" t="s">
        <v>710</v>
      </c>
      <c r="D223" s="4" t="s">
        <v>132</v>
      </c>
      <c r="E223" s="5" t="s">
        <v>711</v>
      </c>
      <c r="F223" s="4"/>
      <c r="G223" s="5"/>
      <c r="H223" s="4"/>
    </row>
    <row r="224" spans="1:8" x14ac:dyDescent="0.55000000000000004">
      <c r="A224" s="4"/>
      <c r="B224" s="5" t="s">
        <v>712</v>
      </c>
      <c r="C224" s="5" t="s">
        <v>713</v>
      </c>
      <c r="D224" s="4" t="s">
        <v>21</v>
      </c>
      <c r="E224" s="5" t="s">
        <v>714</v>
      </c>
      <c r="F224" s="4"/>
      <c r="G224" s="5"/>
      <c r="H224" s="4"/>
    </row>
    <row r="225" spans="1:9" x14ac:dyDescent="0.55000000000000004">
      <c r="A225" s="4"/>
      <c r="B225" s="5" t="s">
        <v>715</v>
      </c>
      <c r="C225" s="5" t="s">
        <v>716</v>
      </c>
      <c r="D225" s="4" t="s">
        <v>132</v>
      </c>
      <c r="E225" s="5" t="s">
        <v>717</v>
      </c>
      <c r="F225" s="4"/>
      <c r="G225" s="5"/>
      <c r="H225" s="4" t="s">
        <v>24</v>
      </c>
    </row>
    <row r="226" spans="1:9" x14ac:dyDescent="0.55000000000000004">
      <c r="A226" s="4">
        <v>15</v>
      </c>
      <c r="B226" s="5" t="s">
        <v>718</v>
      </c>
      <c r="C226" s="5" t="s">
        <v>719</v>
      </c>
      <c r="D226" s="4" t="s">
        <v>21</v>
      </c>
      <c r="E226" s="5" t="s">
        <v>720</v>
      </c>
      <c r="F226" s="4" t="s">
        <v>721</v>
      </c>
      <c r="G226" s="5"/>
      <c r="H226" s="4" t="s">
        <v>722</v>
      </c>
    </row>
    <row r="227" spans="1:9" x14ac:dyDescent="0.55000000000000004">
      <c r="A227" s="4"/>
      <c r="B227" s="5" t="s">
        <v>723</v>
      </c>
      <c r="C227" s="5" t="s">
        <v>723</v>
      </c>
      <c r="D227" s="4" t="s">
        <v>158</v>
      </c>
      <c r="E227" s="5" t="s">
        <v>158</v>
      </c>
      <c r="F227" s="4" t="s">
        <v>422</v>
      </c>
      <c r="G227" s="5"/>
      <c r="H227" s="4" t="s">
        <v>144</v>
      </c>
    </row>
    <row r="228" spans="1:9" x14ac:dyDescent="0.55000000000000004">
      <c r="A228" s="4">
        <v>19</v>
      </c>
      <c r="B228" s="5" t="s">
        <v>724</v>
      </c>
      <c r="C228" s="5" t="s">
        <v>725</v>
      </c>
      <c r="D228" s="4" t="s">
        <v>372</v>
      </c>
      <c r="E228" s="5" t="s">
        <v>726</v>
      </c>
      <c r="F228" s="4" t="s">
        <v>28</v>
      </c>
      <c r="G228" s="5" t="s">
        <v>727</v>
      </c>
      <c r="H228" s="4" t="s">
        <v>728</v>
      </c>
    </row>
    <row r="229" spans="1:9" x14ac:dyDescent="0.55000000000000004">
      <c r="A229" s="4">
        <v>19</v>
      </c>
      <c r="B229" s="5" t="s">
        <v>729</v>
      </c>
      <c r="C229" s="5" t="s">
        <v>730</v>
      </c>
      <c r="D229" s="4" t="s">
        <v>132</v>
      </c>
      <c r="E229" s="5" t="s">
        <v>731</v>
      </c>
      <c r="F229" s="4" t="s">
        <v>28</v>
      </c>
      <c r="G229" s="5" t="s">
        <v>727</v>
      </c>
      <c r="H229" s="4" t="s">
        <v>728</v>
      </c>
    </row>
    <row r="230" spans="1:9" x14ac:dyDescent="0.55000000000000004">
      <c r="A230" s="4"/>
      <c r="B230" s="5" t="s">
        <v>732</v>
      </c>
      <c r="C230" s="5" t="s">
        <v>733</v>
      </c>
      <c r="D230" s="4" t="s">
        <v>49</v>
      </c>
      <c r="E230" s="5" t="s">
        <v>734</v>
      </c>
      <c r="F230" s="4" t="s">
        <v>39</v>
      </c>
      <c r="G230" s="5"/>
      <c r="H230" s="4" t="s">
        <v>39</v>
      </c>
    </row>
    <row r="231" spans="1:9" x14ac:dyDescent="0.55000000000000004">
      <c r="A231" s="4"/>
      <c r="B231" s="10" t="s">
        <v>735</v>
      </c>
      <c r="C231" s="5" t="s">
        <v>735</v>
      </c>
      <c r="D231" s="4" t="s">
        <v>132</v>
      </c>
      <c r="E231" s="5" t="s">
        <v>736</v>
      </c>
      <c r="F231" s="4" t="s">
        <v>422</v>
      </c>
      <c r="G231" s="5" t="s">
        <v>737</v>
      </c>
      <c r="H231" s="4" t="s">
        <v>286</v>
      </c>
    </row>
    <row r="232" spans="1:9" x14ac:dyDescent="0.55000000000000004">
      <c r="A232" s="4"/>
      <c r="B232" s="5" t="s">
        <v>738</v>
      </c>
      <c r="C232" s="5" t="s">
        <v>738</v>
      </c>
      <c r="D232" s="4" t="s">
        <v>132</v>
      </c>
      <c r="E232" s="5" t="s">
        <v>739</v>
      </c>
      <c r="F232" s="4"/>
      <c r="G232" s="5"/>
      <c r="H232" s="4" t="s">
        <v>286</v>
      </c>
    </row>
    <row r="233" spans="1:9" x14ac:dyDescent="0.55000000000000004">
      <c r="A233" s="4">
        <v>55</v>
      </c>
      <c r="B233" s="5" t="s">
        <v>740</v>
      </c>
      <c r="C233" s="5" t="s">
        <v>741</v>
      </c>
      <c r="D233" s="4" t="s">
        <v>132</v>
      </c>
      <c r="E233" s="5" t="s">
        <v>742</v>
      </c>
      <c r="F233" s="4" t="s">
        <v>28</v>
      </c>
      <c r="G233" s="5" t="s">
        <v>743</v>
      </c>
      <c r="H233" s="4" t="s">
        <v>744</v>
      </c>
    </row>
    <row r="234" spans="1:9" x14ac:dyDescent="0.55000000000000004">
      <c r="A234" s="4"/>
      <c r="B234" s="5" t="s">
        <v>745</v>
      </c>
      <c r="C234" s="5" t="s">
        <v>746</v>
      </c>
      <c r="D234" s="4" t="s">
        <v>46</v>
      </c>
      <c r="E234" s="5" t="s">
        <v>747</v>
      </c>
      <c r="F234" s="4" t="s">
        <v>286</v>
      </c>
      <c r="G234" s="5"/>
      <c r="H234" s="4" t="s">
        <v>748</v>
      </c>
    </row>
    <row r="235" spans="1:9" x14ac:dyDescent="0.55000000000000004">
      <c r="A235" s="4"/>
      <c r="B235" s="5" t="s">
        <v>749</v>
      </c>
      <c r="C235" s="5" t="s">
        <v>750</v>
      </c>
      <c r="D235" s="4" t="s">
        <v>21</v>
      </c>
      <c r="E235" s="5" t="s">
        <v>751</v>
      </c>
      <c r="F235" s="4" t="s">
        <v>191</v>
      </c>
      <c r="G235" s="5"/>
      <c r="H235" s="4" t="s">
        <v>749</v>
      </c>
      <c r="I235" s="2" t="s">
        <v>752</v>
      </c>
    </row>
    <row r="236" spans="1:9" x14ac:dyDescent="0.55000000000000004">
      <c r="A236" s="4"/>
      <c r="B236" s="6" t="s">
        <v>753</v>
      </c>
      <c r="C236" s="6" t="s">
        <v>754</v>
      </c>
      <c r="D236" s="7" t="s">
        <v>21</v>
      </c>
      <c r="E236" s="6" t="s">
        <v>755</v>
      </c>
      <c r="F236" s="7" t="s">
        <v>191</v>
      </c>
      <c r="G236" s="6"/>
      <c r="H236" s="7" t="s">
        <v>756</v>
      </c>
    </row>
    <row r="237" spans="1:9" x14ac:dyDescent="0.55000000000000004">
      <c r="A237" s="4"/>
      <c r="B237" s="5" t="s">
        <v>757</v>
      </c>
      <c r="C237" s="5" t="s">
        <v>758</v>
      </c>
      <c r="D237" s="4" t="s">
        <v>21</v>
      </c>
      <c r="E237" s="5" t="s">
        <v>759</v>
      </c>
      <c r="F237" s="4" t="s">
        <v>191</v>
      </c>
      <c r="G237" s="5"/>
      <c r="H237" s="4" t="s">
        <v>756</v>
      </c>
    </row>
    <row r="238" spans="1:9" x14ac:dyDescent="0.55000000000000004">
      <c r="A238" s="4"/>
      <c r="B238" s="5" t="s">
        <v>760</v>
      </c>
      <c r="C238" s="5" t="s">
        <v>761</v>
      </c>
      <c r="D238" s="4" t="s">
        <v>601</v>
      </c>
      <c r="E238" s="5" t="s">
        <v>762</v>
      </c>
      <c r="F238" s="4" t="s">
        <v>251</v>
      </c>
      <c r="G238" s="5" t="s">
        <v>763</v>
      </c>
      <c r="H238" s="4" t="s">
        <v>237</v>
      </c>
    </row>
    <row r="239" spans="1:9" x14ac:dyDescent="0.55000000000000004">
      <c r="A239" s="4"/>
      <c r="B239" s="5" t="s">
        <v>764</v>
      </c>
      <c r="C239" s="5" t="s">
        <v>765</v>
      </c>
      <c r="D239" s="4" t="s">
        <v>13</v>
      </c>
      <c r="E239" s="5" t="s">
        <v>766</v>
      </c>
      <c r="F239" s="4" t="s">
        <v>251</v>
      </c>
      <c r="G239" s="5" t="s">
        <v>767</v>
      </c>
      <c r="H239" s="4" t="s">
        <v>237</v>
      </c>
    </row>
    <row r="240" spans="1:9" x14ac:dyDescent="0.55000000000000004">
      <c r="A240" s="4"/>
      <c r="B240" s="5" t="s">
        <v>768</v>
      </c>
      <c r="C240" s="5" t="s">
        <v>769</v>
      </c>
      <c r="D240" s="4" t="s">
        <v>13</v>
      </c>
      <c r="E240" s="5" t="s">
        <v>770</v>
      </c>
      <c r="F240" s="4" t="s">
        <v>251</v>
      </c>
      <c r="G240" s="5" t="s">
        <v>548</v>
      </c>
      <c r="H240" s="4" t="s">
        <v>237</v>
      </c>
    </row>
    <row r="241" spans="1:8" x14ac:dyDescent="0.55000000000000004">
      <c r="A241" s="4"/>
      <c r="B241" s="5" t="s">
        <v>771</v>
      </c>
      <c r="C241" s="5" t="s">
        <v>772</v>
      </c>
      <c r="D241" s="4" t="s">
        <v>21</v>
      </c>
      <c r="E241" s="5" t="s">
        <v>773</v>
      </c>
      <c r="F241" s="4" t="s">
        <v>142</v>
      </c>
      <c r="G241" s="5" t="s">
        <v>774</v>
      </c>
      <c r="H241" s="4" t="s">
        <v>237</v>
      </c>
    </row>
    <row r="242" spans="1:8" x14ac:dyDescent="0.55000000000000004">
      <c r="A242" s="4"/>
      <c r="B242" s="5" t="s">
        <v>775</v>
      </c>
      <c r="C242" s="5" t="s">
        <v>776</v>
      </c>
      <c r="D242" s="4" t="s">
        <v>21</v>
      </c>
      <c r="E242" s="5" t="s">
        <v>777</v>
      </c>
      <c r="F242" s="4"/>
      <c r="G242" s="5"/>
      <c r="H242" s="4" t="s">
        <v>778</v>
      </c>
    </row>
    <row r="243" spans="1:8" x14ac:dyDescent="0.55000000000000004">
      <c r="A243" s="4"/>
      <c r="B243" s="5" t="s">
        <v>779</v>
      </c>
      <c r="C243" s="5" t="s">
        <v>780</v>
      </c>
      <c r="D243" s="4" t="s">
        <v>42</v>
      </c>
      <c r="E243" s="5" t="s">
        <v>781</v>
      </c>
      <c r="F243" s="4" t="s">
        <v>28</v>
      </c>
      <c r="G243" s="5"/>
      <c r="H243" s="4" t="s">
        <v>782</v>
      </c>
    </row>
    <row r="244" spans="1:8" x14ac:dyDescent="0.55000000000000004">
      <c r="A244" s="4"/>
      <c r="B244" s="5" t="s">
        <v>783</v>
      </c>
      <c r="C244" s="5" t="s">
        <v>784</v>
      </c>
      <c r="D244" s="4" t="s">
        <v>21</v>
      </c>
      <c r="E244" s="5" t="s">
        <v>785</v>
      </c>
      <c r="F244" s="4" t="s">
        <v>28</v>
      </c>
      <c r="G244" s="5"/>
      <c r="H244" s="4" t="s">
        <v>782</v>
      </c>
    </row>
    <row r="245" spans="1:8" x14ac:dyDescent="0.55000000000000004">
      <c r="A245" s="4">
        <v>68</v>
      </c>
      <c r="B245" s="5" t="s">
        <v>786</v>
      </c>
      <c r="C245" s="5" t="s">
        <v>787</v>
      </c>
      <c r="D245" s="4" t="s">
        <v>21</v>
      </c>
      <c r="E245" s="5" t="s">
        <v>788</v>
      </c>
      <c r="F245" s="4" t="s">
        <v>28</v>
      </c>
      <c r="G245" s="5"/>
      <c r="H245" s="4"/>
    </row>
    <row r="246" spans="1:8" x14ac:dyDescent="0.55000000000000004">
      <c r="A246" s="4"/>
      <c r="B246" s="5" t="s">
        <v>789</v>
      </c>
      <c r="C246" s="5" t="s">
        <v>790</v>
      </c>
      <c r="D246" s="4" t="s">
        <v>111</v>
      </c>
      <c r="E246" s="5" t="s">
        <v>791</v>
      </c>
      <c r="F246" s="4" t="s">
        <v>240</v>
      </c>
      <c r="G246" s="5"/>
      <c r="H246" s="4" t="s">
        <v>792</v>
      </c>
    </row>
    <row r="247" spans="1:8" x14ac:dyDescent="0.55000000000000004">
      <c r="A247" s="4"/>
      <c r="B247" s="5" t="s">
        <v>793</v>
      </c>
      <c r="C247" s="5" t="s">
        <v>794</v>
      </c>
      <c r="D247" s="4" t="s">
        <v>111</v>
      </c>
      <c r="E247" s="5" t="s">
        <v>795</v>
      </c>
      <c r="F247" s="4" t="s">
        <v>240</v>
      </c>
      <c r="G247" s="5"/>
      <c r="H247" s="4" t="s">
        <v>792</v>
      </c>
    </row>
    <row r="248" spans="1:8" x14ac:dyDescent="0.55000000000000004">
      <c r="A248" s="4"/>
      <c r="B248" s="6" t="s">
        <v>796</v>
      </c>
      <c r="C248" s="6" t="s">
        <v>797</v>
      </c>
      <c r="D248" s="7" t="s">
        <v>13</v>
      </c>
      <c r="E248" s="6" t="s">
        <v>798</v>
      </c>
      <c r="F248" s="7" t="s">
        <v>240</v>
      </c>
      <c r="G248" s="6"/>
      <c r="H248" s="7" t="s">
        <v>792</v>
      </c>
    </row>
    <row r="249" spans="1:8" x14ac:dyDescent="0.55000000000000004">
      <c r="A249" s="4"/>
      <c r="B249" s="5" t="s">
        <v>799</v>
      </c>
      <c r="C249" s="5" t="s">
        <v>799</v>
      </c>
      <c r="D249" s="11" t="s">
        <v>158</v>
      </c>
      <c r="E249" s="5" t="s">
        <v>158</v>
      </c>
      <c r="F249" s="4"/>
      <c r="G249" s="5" t="s">
        <v>800</v>
      </c>
      <c r="H249" s="4"/>
    </row>
    <row r="250" spans="1:8" x14ac:dyDescent="0.55000000000000004">
      <c r="A250" s="4"/>
      <c r="B250" s="5" t="s">
        <v>801</v>
      </c>
      <c r="C250" s="5" t="s">
        <v>801</v>
      </c>
      <c r="D250" s="11" t="s">
        <v>158</v>
      </c>
      <c r="E250" s="5" t="s">
        <v>158</v>
      </c>
      <c r="F250" s="4"/>
      <c r="G250" s="5"/>
      <c r="H250" s="4" t="s">
        <v>24</v>
      </c>
    </row>
    <row r="251" spans="1:8" x14ac:dyDescent="0.55000000000000004">
      <c r="A251" s="4"/>
      <c r="B251" s="5" t="s">
        <v>802</v>
      </c>
      <c r="C251" s="5" t="s">
        <v>802</v>
      </c>
      <c r="D251" s="12" t="s">
        <v>10</v>
      </c>
      <c r="E251" s="5"/>
      <c r="F251" s="4"/>
      <c r="G251" s="5"/>
      <c r="H251" s="4" t="s">
        <v>24</v>
      </c>
    </row>
    <row r="252" spans="1:8" x14ac:dyDescent="0.55000000000000004">
      <c r="A252" s="4">
        <v>44</v>
      </c>
      <c r="B252" s="5" t="s">
        <v>803</v>
      </c>
      <c r="C252" s="5" t="s">
        <v>804</v>
      </c>
      <c r="D252" s="4" t="s">
        <v>46</v>
      </c>
      <c r="E252" s="5" t="s">
        <v>805</v>
      </c>
      <c r="F252" s="4" t="s">
        <v>28</v>
      </c>
      <c r="G252" s="5"/>
      <c r="H252" s="4" t="s">
        <v>806</v>
      </c>
    </row>
    <row r="253" spans="1:8" x14ac:dyDescent="0.55000000000000004">
      <c r="A253" s="4">
        <v>38</v>
      </c>
      <c r="B253" s="5" t="s">
        <v>807</v>
      </c>
      <c r="C253" s="5" t="s">
        <v>808</v>
      </c>
      <c r="D253" s="4" t="s">
        <v>132</v>
      </c>
      <c r="E253" s="5" t="s">
        <v>809</v>
      </c>
      <c r="F253" s="4" t="s">
        <v>28</v>
      </c>
      <c r="G253" s="5" t="s">
        <v>810</v>
      </c>
      <c r="H253" s="4" t="s">
        <v>811</v>
      </c>
    </row>
    <row r="254" spans="1:8" x14ac:dyDescent="0.55000000000000004">
      <c r="A254" s="4">
        <v>73</v>
      </c>
      <c r="B254" s="5" t="s">
        <v>812</v>
      </c>
      <c r="C254" s="5" t="s">
        <v>812</v>
      </c>
      <c r="D254" s="4" t="s">
        <v>21</v>
      </c>
      <c r="E254" s="5" t="s">
        <v>813</v>
      </c>
      <c r="F254" s="4" t="s">
        <v>28</v>
      </c>
      <c r="G254" s="5" t="s">
        <v>814</v>
      </c>
      <c r="H254" s="4" t="s">
        <v>815</v>
      </c>
    </row>
    <row r="255" spans="1:8" x14ac:dyDescent="0.55000000000000004">
      <c r="A255" s="4">
        <v>73</v>
      </c>
      <c r="B255" s="5" t="s">
        <v>816</v>
      </c>
      <c r="C255" s="5" t="s">
        <v>817</v>
      </c>
      <c r="D255" s="4" t="s">
        <v>46</v>
      </c>
      <c r="E255" s="5" t="s">
        <v>818</v>
      </c>
      <c r="F255" s="4" t="s">
        <v>28</v>
      </c>
      <c r="G255" s="5" t="s">
        <v>819</v>
      </c>
      <c r="H255" s="4" t="s">
        <v>815</v>
      </c>
    </row>
    <row r="256" spans="1:8" x14ac:dyDescent="0.55000000000000004">
      <c r="A256" s="4"/>
      <c r="B256" s="5" t="s">
        <v>820</v>
      </c>
      <c r="C256" s="5" t="s">
        <v>820</v>
      </c>
      <c r="D256" s="4" t="s">
        <v>21</v>
      </c>
      <c r="E256" s="5" t="s">
        <v>821</v>
      </c>
      <c r="F256" s="4" t="s">
        <v>39</v>
      </c>
      <c r="G256" s="5"/>
      <c r="H256" s="4" t="s">
        <v>39</v>
      </c>
    </row>
    <row r="257" spans="1:8" x14ac:dyDescent="0.55000000000000004">
      <c r="A257" s="4"/>
      <c r="B257" s="5" t="s">
        <v>822</v>
      </c>
      <c r="C257" s="5" t="s">
        <v>822</v>
      </c>
      <c r="D257" s="4" t="s">
        <v>21</v>
      </c>
      <c r="E257" s="5" t="s">
        <v>823</v>
      </c>
      <c r="F257" s="4"/>
      <c r="G257" s="5" t="s">
        <v>824</v>
      </c>
      <c r="H257" s="4" t="s">
        <v>144</v>
      </c>
    </row>
    <row r="258" spans="1:8" x14ac:dyDescent="0.55000000000000004">
      <c r="A258" s="4"/>
      <c r="B258" s="5" t="s">
        <v>825</v>
      </c>
      <c r="C258" s="5" t="s">
        <v>825</v>
      </c>
      <c r="D258" s="4" t="s">
        <v>21</v>
      </c>
      <c r="E258" s="5" t="s">
        <v>826</v>
      </c>
      <c r="F258" s="4" t="s">
        <v>134</v>
      </c>
      <c r="G258" s="5" t="s">
        <v>827</v>
      </c>
      <c r="H258" s="4" t="s">
        <v>144</v>
      </c>
    </row>
    <row r="259" spans="1:8" x14ac:dyDescent="0.55000000000000004">
      <c r="A259" s="4"/>
      <c r="B259" s="5" t="s">
        <v>828</v>
      </c>
      <c r="C259" s="5" t="s">
        <v>829</v>
      </c>
      <c r="D259" s="4" t="s">
        <v>21</v>
      </c>
      <c r="E259" s="5" t="s">
        <v>830</v>
      </c>
      <c r="F259" s="4" t="s">
        <v>39</v>
      </c>
      <c r="G259" s="5" t="s">
        <v>831</v>
      </c>
      <c r="H259" s="4" t="s">
        <v>39</v>
      </c>
    </row>
    <row r="260" spans="1:8" x14ac:dyDescent="0.55000000000000004">
      <c r="A260" s="4"/>
      <c r="B260" s="5" t="s">
        <v>832</v>
      </c>
      <c r="C260" s="5" t="s">
        <v>832</v>
      </c>
      <c r="D260" s="4" t="s">
        <v>21</v>
      </c>
      <c r="E260" s="5" t="s">
        <v>833</v>
      </c>
      <c r="F260" s="4" t="s">
        <v>39</v>
      </c>
      <c r="G260" s="5" t="s">
        <v>834</v>
      </c>
      <c r="H260" s="4" t="s">
        <v>39</v>
      </c>
    </row>
    <row r="261" spans="1:8" x14ac:dyDescent="0.55000000000000004">
      <c r="A261" s="4"/>
      <c r="B261" s="5" t="s">
        <v>835</v>
      </c>
      <c r="C261" s="5" t="s">
        <v>835</v>
      </c>
      <c r="D261" s="4" t="s">
        <v>21</v>
      </c>
      <c r="E261" s="5" t="s">
        <v>836</v>
      </c>
      <c r="F261" s="4" t="s">
        <v>390</v>
      </c>
      <c r="G261" s="5"/>
      <c r="H261" s="4" t="s">
        <v>24</v>
      </c>
    </row>
    <row r="262" spans="1:8" x14ac:dyDescent="0.55000000000000004">
      <c r="A262" s="4"/>
      <c r="B262" s="5" t="s">
        <v>837</v>
      </c>
      <c r="C262" s="5" t="s">
        <v>837</v>
      </c>
      <c r="D262" s="9" t="s">
        <v>46</v>
      </c>
      <c r="E262" s="5" t="s">
        <v>838</v>
      </c>
      <c r="F262" s="4" t="s">
        <v>134</v>
      </c>
      <c r="G262" s="5"/>
      <c r="H262" s="4" t="s">
        <v>144</v>
      </c>
    </row>
    <row r="263" spans="1:8" x14ac:dyDescent="0.55000000000000004">
      <c r="A263" s="4"/>
      <c r="B263" s="5" t="s">
        <v>839</v>
      </c>
      <c r="C263" s="5" t="s">
        <v>839</v>
      </c>
      <c r="D263" s="4" t="s">
        <v>13</v>
      </c>
      <c r="E263" s="5" t="s">
        <v>840</v>
      </c>
      <c r="F263" s="4"/>
      <c r="G263" s="5" t="s">
        <v>841</v>
      </c>
      <c r="H263" s="4" t="s">
        <v>24</v>
      </c>
    </row>
    <row r="264" spans="1:8" x14ac:dyDescent="0.55000000000000004">
      <c r="A264" s="4"/>
      <c r="B264" s="5" t="s">
        <v>842</v>
      </c>
      <c r="C264" s="5" t="s">
        <v>842</v>
      </c>
      <c r="D264" s="4" t="s">
        <v>21</v>
      </c>
      <c r="E264" s="5" t="s">
        <v>843</v>
      </c>
      <c r="F264" s="4"/>
      <c r="G264" s="5" t="s">
        <v>841</v>
      </c>
      <c r="H264" s="4" t="s">
        <v>24</v>
      </c>
    </row>
    <row r="265" spans="1:8" x14ac:dyDescent="0.55000000000000004">
      <c r="A265" s="4"/>
      <c r="B265" s="5" t="s">
        <v>844</v>
      </c>
      <c r="C265" s="5" t="s">
        <v>844</v>
      </c>
      <c r="D265" s="9" t="s">
        <v>46</v>
      </c>
      <c r="E265" s="5" t="s">
        <v>845</v>
      </c>
      <c r="F265" s="4" t="s">
        <v>407</v>
      </c>
      <c r="G265" s="5" t="s">
        <v>846</v>
      </c>
      <c r="H265" s="4" t="s">
        <v>24</v>
      </c>
    </row>
    <row r="266" spans="1:8" x14ac:dyDescent="0.55000000000000004">
      <c r="A266" s="4"/>
      <c r="B266" s="5" t="s">
        <v>847</v>
      </c>
      <c r="C266" s="5" t="s">
        <v>847</v>
      </c>
      <c r="D266" s="9" t="s">
        <v>21</v>
      </c>
      <c r="E266" s="5" t="s">
        <v>127</v>
      </c>
      <c r="F266" s="4" t="s">
        <v>848</v>
      </c>
      <c r="G266" s="5"/>
      <c r="H266" s="4" t="s">
        <v>74</v>
      </c>
    </row>
    <row r="267" spans="1:8" x14ac:dyDescent="0.55000000000000004">
      <c r="A267" s="4"/>
      <c r="B267" s="5" t="s">
        <v>849</v>
      </c>
      <c r="C267" s="5" t="s">
        <v>849</v>
      </c>
      <c r="D267" s="9" t="s">
        <v>46</v>
      </c>
      <c r="E267" s="5" t="s">
        <v>850</v>
      </c>
      <c r="F267" s="4" t="s">
        <v>848</v>
      </c>
      <c r="G267" s="5"/>
      <c r="H267" s="4" t="s">
        <v>74</v>
      </c>
    </row>
    <row r="268" spans="1:8" x14ac:dyDescent="0.55000000000000004">
      <c r="A268" s="4"/>
      <c r="B268" s="5" t="s">
        <v>851</v>
      </c>
      <c r="C268" s="5" t="s">
        <v>851</v>
      </c>
      <c r="D268" s="9" t="s">
        <v>21</v>
      </c>
      <c r="E268" s="5" t="s">
        <v>852</v>
      </c>
      <c r="F268" s="4" t="s">
        <v>134</v>
      </c>
      <c r="G268" s="5" t="s">
        <v>853</v>
      </c>
      <c r="H268" s="4" t="s">
        <v>151</v>
      </c>
    </row>
    <row r="269" spans="1:8" x14ac:dyDescent="0.55000000000000004">
      <c r="A269" s="4"/>
      <c r="B269" s="5" t="s">
        <v>854</v>
      </c>
      <c r="C269" s="5" t="s">
        <v>854</v>
      </c>
      <c r="D269" s="4" t="s">
        <v>13</v>
      </c>
      <c r="E269" s="5" t="s">
        <v>855</v>
      </c>
      <c r="F269" s="4" t="s">
        <v>422</v>
      </c>
      <c r="G269" s="5" t="s">
        <v>856</v>
      </c>
      <c r="H269" s="4" t="s">
        <v>286</v>
      </c>
    </row>
    <row r="270" spans="1:8" x14ac:dyDescent="0.55000000000000004">
      <c r="A270" s="4"/>
      <c r="B270" s="5" t="s">
        <v>857</v>
      </c>
      <c r="C270" s="5" t="s">
        <v>857</v>
      </c>
      <c r="D270" s="4" t="s">
        <v>13</v>
      </c>
      <c r="E270" s="5" t="s">
        <v>858</v>
      </c>
      <c r="F270" s="4" t="s">
        <v>151</v>
      </c>
      <c r="G270" s="5"/>
      <c r="H270" s="4" t="s">
        <v>151</v>
      </c>
    </row>
    <row r="271" spans="1:8" x14ac:dyDescent="0.55000000000000004">
      <c r="A271" s="4"/>
      <c r="B271" s="5" t="s">
        <v>859</v>
      </c>
      <c r="C271" s="5" t="s">
        <v>859</v>
      </c>
      <c r="D271" s="4" t="s">
        <v>13</v>
      </c>
      <c r="E271" s="5" t="s">
        <v>860</v>
      </c>
      <c r="F271" s="4" t="s">
        <v>39</v>
      </c>
      <c r="G271" s="5"/>
      <c r="H271" s="4" t="s">
        <v>39</v>
      </c>
    </row>
    <row r="272" spans="1:8" x14ac:dyDescent="0.55000000000000004">
      <c r="A272" s="4"/>
      <c r="B272" s="5" t="s">
        <v>861</v>
      </c>
      <c r="C272" s="5" t="s">
        <v>861</v>
      </c>
      <c r="D272" s="4" t="s">
        <v>21</v>
      </c>
      <c r="E272" s="5" t="s">
        <v>862</v>
      </c>
      <c r="F272" s="4" t="s">
        <v>390</v>
      </c>
      <c r="G272" s="5"/>
      <c r="H272" s="4" t="s">
        <v>24</v>
      </c>
    </row>
    <row r="273" spans="1:9" x14ac:dyDescent="0.55000000000000004">
      <c r="A273" s="4"/>
      <c r="B273" s="5" t="s">
        <v>863</v>
      </c>
      <c r="C273" s="5" t="s">
        <v>863</v>
      </c>
      <c r="D273" s="4" t="s">
        <v>21</v>
      </c>
      <c r="E273" s="5" t="s">
        <v>864</v>
      </c>
      <c r="F273" s="4" t="s">
        <v>142</v>
      </c>
      <c r="G273" s="5" t="s">
        <v>865</v>
      </c>
      <c r="H273" s="4" t="s">
        <v>144</v>
      </c>
    </row>
    <row r="274" spans="1:9" x14ac:dyDescent="0.55000000000000004">
      <c r="A274" s="4"/>
      <c r="B274" s="5" t="s">
        <v>866</v>
      </c>
      <c r="C274" s="5" t="s">
        <v>866</v>
      </c>
      <c r="D274" s="4" t="s">
        <v>132</v>
      </c>
      <c r="E274" s="5" t="s">
        <v>867</v>
      </c>
      <c r="F274" s="4" t="s">
        <v>422</v>
      </c>
      <c r="G274" s="5"/>
      <c r="H274" s="4" t="s">
        <v>144</v>
      </c>
    </row>
    <row r="275" spans="1:9" x14ac:dyDescent="0.55000000000000004">
      <c r="A275" s="4"/>
      <c r="B275" s="5" t="s">
        <v>868</v>
      </c>
      <c r="C275" s="5" t="s">
        <v>868</v>
      </c>
      <c r="D275" s="4" t="s">
        <v>132</v>
      </c>
      <c r="E275" s="5" t="s">
        <v>869</v>
      </c>
      <c r="F275" s="4" t="s">
        <v>870</v>
      </c>
      <c r="G275" s="5"/>
      <c r="H275" s="4" t="s">
        <v>871</v>
      </c>
    </row>
    <row r="276" spans="1:9" x14ac:dyDescent="0.55000000000000004">
      <c r="A276" s="7">
        <v>12</v>
      </c>
      <c r="B276" s="6" t="s">
        <v>872</v>
      </c>
      <c r="C276" s="6" t="s">
        <v>873</v>
      </c>
      <c r="D276" s="7" t="s">
        <v>42</v>
      </c>
      <c r="E276" s="6" t="s">
        <v>874</v>
      </c>
      <c r="F276" s="7" t="s">
        <v>28</v>
      </c>
      <c r="G276" s="6" t="s">
        <v>608</v>
      </c>
      <c r="H276" s="7" t="s">
        <v>875</v>
      </c>
      <c r="I276" s="2" t="s">
        <v>876</v>
      </c>
    </row>
    <row r="277" spans="1:9" x14ac:dyDescent="0.55000000000000004">
      <c r="A277" s="4">
        <v>12</v>
      </c>
      <c r="B277" s="5" t="s">
        <v>877</v>
      </c>
      <c r="C277" s="5" t="s">
        <v>878</v>
      </c>
      <c r="D277" s="9" t="s">
        <v>46</v>
      </c>
      <c r="E277" s="5" t="s">
        <v>879</v>
      </c>
      <c r="F277" s="4" t="s">
        <v>28</v>
      </c>
      <c r="G277" s="5" t="s">
        <v>608</v>
      </c>
      <c r="H277" s="4" t="s">
        <v>875</v>
      </c>
      <c r="I277" s="2" t="s">
        <v>880</v>
      </c>
    </row>
    <row r="278" spans="1:9" x14ac:dyDescent="0.55000000000000004">
      <c r="A278" s="4">
        <v>65</v>
      </c>
      <c r="B278" s="5" t="s">
        <v>881</v>
      </c>
      <c r="C278" s="5" t="s">
        <v>882</v>
      </c>
      <c r="D278" s="4" t="s">
        <v>46</v>
      </c>
      <c r="E278" s="5" t="s">
        <v>883</v>
      </c>
      <c r="F278" s="4" t="s">
        <v>28</v>
      </c>
      <c r="G278" s="5"/>
      <c r="H278" s="4" t="s">
        <v>884</v>
      </c>
    </row>
    <row r="279" spans="1:9" x14ac:dyDescent="0.55000000000000004">
      <c r="A279" s="4"/>
      <c r="B279" s="5" t="s">
        <v>885</v>
      </c>
      <c r="C279" s="5" t="s">
        <v>886</v>
      </c>
      <c r="D279" s="4" t="s">
        <v>21</v>
      </c>
      <c r="E279" s="5" t="s">
        <v>887</v>
      </c>
      <c r="F279" s="4" t="s">
        <v>428</v>
      </c>
      <c r="G279" s="5"/>
      <c r="H279" s="4" t="s">
        <v>24</v>
      </c>
    </row>
    <row r="280" spans="1:9" x14ac:dyDescent="0.55000000000000004">
      <c r="A280" s="4"/>
      <c r="B280" s="5" t="s">
        <v>888</v>
      </c>
      <c r="C280" s="5" t="s">
        <v>889</v>
      </c>
      <c r="D280" s="4" t="s">
        <v>46</v>
      </c>
      <c r="E280" s="5" t="s">
        <v>890</v>
      </c>
      <c r="F280" s="4" t="s">
        <v>240</v>
      </c>
      <c r="G280" s="5"/>
      <c r="H280" s="4"/>
    </row>
    <row r="281" spans="1:9" x14ac:dyDescent="0.55000000000000004">
      <c r="A281" s="4"/>
      <c r="B281" s="5" t="s">
        <v>891</v>
      </c>
      <c r="C281" s="5" t="s">
        <v>892</v>
      </c>
      <c r="D281" s="4" t="s">
        <v>21</v>
      </c>
      <c r="E281" s="5" t="s">
        <v>893</v>
      </c>
      <c r="F281" s="4" t="s">
        <v>251</v>
      </c>
      <c r="G281" s="5" t="s">
        <v>252</v>
      </c>
      <c r="H281" s="4" t="s">
        <v>616</v>
      </c>
    </row>
    <row r="282" spans="1:9" x14ac:dyDescent="0.55000000000000004">
      <c r="A282" s="4"/>
      <c r="B282" s="5" t="s">
        <v>894</v>
      </c>
      <c r="C282" s="5" t="s">
        <v>185</v>
      </c>
      <c r="D282" s="4" t="s">
        <v>21</v>
      </c>
      <c r="E282" s="5" t="s">
        <v>186</v>
      </c>
      <c r="F282" s="4" t="s">
        <v>251</v>
      </c>
      <c r="G282" s="5" t="s">
        <v>252</v>
      </c>
      <c r="H282" s="4" t="s">
        <v>44</v>
      </c>
    </row>
    <row r="283" spans="1:9" x14ac:dyDescent="0.55000000000000004">
      <c r="A283" s="4"/>
      <c r="B283" s="5" t="s">
        <v>895</v>
      </c>
      <c r="C283" s="5" t="s">
        <v>896</v>
      </c>
      <c r="D283" s="4" t="s">
        <v>21</v>
      </c>
      <c r="E283" s="5" t="s">
        <v>897</v>
      </c>
      <c r="F283" s="4" t="s">
        <v>191</v>
      </c>
      <c r="G283" s="5"/>
      <c r="H283" s="4" t="s">
        <v>895</v>
      </c>
    </row>
    <row r="284" spans="1:9" x14ac:dyDescent="0.55000000000000004">
      <c r="A284" s="4"/>
      <c r="B284" s="5" t="s">
        <v>898</v>
      </c>
      <c r="C284" s="5" t="s">
        <v>898</v>
      </c>
      <c r="D284" s="4" t="s">
        <v>21</v>
      </c>
      <c r="E284" s="5" t="s">
        <v>899</v>
      </c>
      <c r="F284" s="4"/>
      <c r="G284" s="5" t="s">
        <v>900</v>
      </c>
      <c r="H284" s="4" t="s">
        <v>286</v>
      </c>
    </row>
    <row r="285" spans="1:9" x14ac:dyDescent="0.55000000000000004">
      <c r="A285" s="4"/>
      <c r="B285" s="5" t="s">
        <v>901</v>
      </c>
      <c r="C285" s="5" t="s">
        <v>901</v>
      </c>
      <c r="D285" s="4" t="s">
        <v>902</v>
      </c>
      <c r="E285" s="5" t="s">
        <v>903</v>
      </c>
      <c r="F285" s="4"/>
      <c r="G285" s="5" t="s">
        <v>904</v>
      </c>
      <c r="H285" s="4" t="s">
        <v>57</v>
      </c>
    </row>
    <row r="286" spans="1:9" x14ac:dyDescent="0.55000000000000004">
      <c r="A286" s="4"/>
      <c r="B286" s="5" t="s">
        <v>905</v>
      </c>
      <c r="C286" s="5" t="s">
        <v>906</v>
      </c>
      <c r="D286" s="4" t="s">
        <v>13</v>
      </c>
      <c r="E286" s="5" t="s">
        <v>907</v>
      </c>
      <c r="F286" s="4" t="s">
        <v>908</v>
      </c>
      <c r="G286" s="5" t="s">
        <v>909</v>
      </c>
      <c r="H286" s="4" t="s">
        <v>24</v>
      </c>
    </row>
    <row r="287" spans="1:9" x14ac:dyDescent="0.55000000000000004">
      <c r="A287" s="4"/>
      <c r="B287" s="5" t="s">
        <v>910</v>
      </c>
      <c r="C287" s="5" t="s">
        <v>911</v>
      </c>
      <c r="D287" s="4" t="s">
        <v>132</v>
      </c>
      <c r="E287" s="5" t="s">
        <v>912</v>
      </c>
      <c r="F287" s="4" t="s">
        <v>142</v>
      </c>
      <c r="G287" s="5" t="s">
        <v>913</v>
      </c>
      <c r="H287" s="4" t="s">
        <v>144</v>
      </c>
    </row>
    <row r="288" spans="1:9" x14ac:dyDescent="0.55000000000000004">
      <c r="A288" s="4"/>
      <c r="B288" s="5" t="s">
        <v>914</v>
      </c>
      <c r="C288" s="5" t="s">
        <v>914</v>
      </c>
      <c r="D288" s="4" t="s">
        <v>13</v>
      </c>
      <c r="E288" s="5" t="s">
        <v>915</v>
      </c>
      <c r="F288" s="4" t="s">
        <v>916</v>
      </c>
      <c r="G288" s="5" t="s">
        <v>917</v>
      </c>
      <c r="H288" s="4" t="s">
        <v>24</v>
      </c>
    </row>
    <row r="289" spans="1:8" x14ac:dyDescent="0.55000000000000004">
      <c r="A289" s="4">
        <v>71</v>
      </c>
      <c r="B289" s="5" t="s">
        <v>918</v>
      </c>
      <c r="C289" s="5" t="s">
        <v>918</v>
      </c>
      <c r="D289" s="4" t="s">
        <v>49</v>
      </c>
      <c r="E289" s="5" t="s">
        <v>919</v>
      </c>
      <c r="F289" s="4" t="s">
        <v>28</v>
      </c>
      <c r="G289" s="5" t="s">
        <v>920</v>
      </c>
      <c r="H289" s="4" t="s">
        <v>921</v>
      </c>
    </row>
    <row r="290" spans="1:8" x14ac:dyDescent="0.55000000000000004">
      <c r="A290" s="4"/>
      <c r="B290" s="5" t="s">
        <v>922</v>
      </c>
      <c r="C290" s="5" t="s">
        <v>922</v>
      </c>
      <c r="D290" s="4" t="s">
        <v>49</v>
      </c>
      <c r="E290" s="5" t="s">
        <v>923</v>
      </c>
      <c r="F290" s="4" t="s">
        <v>116</v>
      </c>
      <c r="G290" s="5" t="s">
        <v>924</v>
      </c>
      <c r="H290" s="4" t="s">
        <v>925</v>
      </c>
    </row>
    <row r="291" spans="1:8" x14ac:dyDescent="0.55000000000000004">
      <c r="A291" s="4"/>
      <c r="B291" s="5" t="s">
        <v>926</v>
      </c>
      <c r="C291" s="5" t="s">
        <v>926</v>
      </c>
      <c r="D291" s="9" t="s">
        <v>46</v>
      </c>
      <c r="E291" s="5" t="s">
        <v>927</v>
      </c>
      <c r="F291" s="4"/>
      <c r="G291" s="5"/>
      <c r="H291" s="4"/>
    </row>
    <row r="292" spans="1:8" x14ac:dyDescent="0.55000000000000004">
      <c r="A292" s="4"/>
      <c r="B292" s="5" t="s">
        <v>928</v>
      </c>
      <c r="C292" s="5" t="s">
        <v>928</v>
      </c>
      <c r="D292" s="9" t="s">
        <v>13</v>
      </c>
      <c r="E292" s="5" t="s">
        <v>929</v>
      </c>
      <c r="F292" s="4" t="s">
        <v>39</v>
      </c>
      <c r="G292" s="5"/>
      <c r="H292" s="4" t="s">
        <v>39</v>
      </c>
    </row>
    <row r="293" spans="1:8" x14ac:dyDescent="0.55000000000000004">
      <c r="A293" s="4"/>
      <c r="B293" s="5" t="s">
        <v>930</v>
      </c>
      <c r="C293" s="5" t="s">
        <v>930</v>
      </c>
      <c r="D293" s="4" t="s">
        <v>21</v>
      </c>
      <c r="E293" s="5" t="s">
        <v>931</v>
      </c>
      <c r="F293" s="4" t="s">
        <v>39</v>
      </c>
      <c r="G293" s="5" t="s">
        <v>932</v>
      </c>
      <c r="H293" s="4" t="s">
        <v>39</v>
      </c>
    </row>
    <row r="294" spans="1:8" x14ac:dyDescent="0.55000000000000004">
      <c r="A294" s="4"/>
      <c r="B294" s="5" t="s">
        <v>933</v>
      </c>
      <c r="C294" s="5" t="s">
        <v>933</v>
      </c>
      <c r="D294" s="9" t="s">
        <v>46</v>
      </c>
      <c r="E294" s="5" t="s">
        <v>934</v>
      </c>
      <c r="F294" s="4"/>
      <c r="G294" s="5" t="s">
        <v>935</v>
      </c>
      <c r="H294" s="4" t="s">
        <v>144</v>
      </c>
    </row>
    <row r="295" spans="1:8" x14ac:dyDescent="0.55000000000000004">
      <c r="A295" s="4"/>
      <c r="B295" s="5" t="s">
        <v>936</v>
      </c>
      <c r="C295" s="5" t="s">
        <v>936</v>
      </c>
      <c r="D295" s="4" t="s">
        <v>21</v>
      </c>
      <c r="E295" s="5" t="s">
        <v>937</v>
      </c>
      <c r="F295" s="4" t="s">
        <v>134</v>
      </c>
      <c r="G295" s="5" t="s">
        <v>938</v>
      </c>
      <c r="H295" s="4" t="s">
        <v>151</v>
      </c>
    </row>
    <row r="296" spans="1:8" x14ac:dyDescent="0.55000000000000004">
      <c r="A296" s="4"/>
      <c r="B296" s="5" t="s">
        <v>939</v>
      </c>
      <c r="C296" s="5" t="s">
        <v>939</v>
      </c>
      <c r="D296" s="4" t="s">
        <v>21</v>
      </c>
      <c r="E296" s="5" t="s">
        <v>940</v>
      </c>
      <c r="F296" s="4" t="s">
        <v>428</v>
      </c>
      <c r="G296" s="5"/>
      <c r="H296" s="4" t="s">
        <v>24</v>
      </c>
    </row>
    <row r="297" spans="1:8" x14ac:dyDescent="0.55000000000000004">
      <c r="A297" s="4"/>
      <c r="B297" s="5" t="s">
        <v>941</v>
      </c>
      <c r="C297" s="5" t="s">
        <v>941</v>
      </c>
      <c r="D297" s="4" t="s">
        <v>42</v>
      </c>
      <c r="E297" s="5" t="s">
        <v>942</v>
      </c>
      <c r="F297" s="4"/>
      <c r="G297" s="5" t="s">
        <v>943</v>
      </c>
      <c r="H297" s="4" t="s">
        <v>144</v>
      </c>
    </row>
    <row r="298" spans="1:8" x14ac:dyDescent="0.55000000000000004">
      <c r="A298" s="4"/>
      <c r="B298" s="5" t="s">
        <v>944</v>
      </c>
      <c r="C298" s="5" t="s">
        <v>944</v>
      </c>
      <c r="D298" s="4" t="s">
        <v>132</v>
      </c>
      <c r="E298" s="5" t="s">
        <v>945</v>
      </c>
      <c r="F298" s="4" t="s">
        <v>142</v>
      </c>
      <c r="G298" s="5" t="s">
        <v>943</v>
      </c>
      <c r="H298" s="4" t="s">
        <v>144</v>
      </c>
    </row>
    <row r="299" spans="1:8" x14ac:dyDescent="0.55000000000000004">
      <c r="A299" s="4"/>
      <c r="B299" s="5" t="s">
        <v>946</v>
      </c>
      <c r="C299" s="5" t="s">
        <v>946</v>
      </c>
      <c r="D299" s="4" t="s">
        <v>132</v>
      </c>
      <c r="E299" s="5" t="s">
        <v>947</v>
      </c>
      <c r="F299" s="4" t="s">
        <v>128</v>
      </c>
      <c r="G299" s="5" t="s">
        <v>948</v>
      </c>
      <c r="H299" s="4" t="s">
        <v>57</v>
      </c>
    </row>
    <row r="300" spans="1:8" x14ac:dyDescent="0.55000000000000004">
      <c r="A300" s="4"/>
      <c r="B300" s="5" t="s">
        <v>949</v>
      </c>
      <c r="C300" s="5" t="s">
        <v>949</v>
      </c>
      <c r="D300" s="4" t="s">
        <v>46</v>
      </c>
      <c r="E300" s="5" t="s">
        <v>950</v>
      </c>
      <c r="F300" s="4" t="s">
        <v>134</v>
      </c>
      <c r="G300" s="5"/>
      <c r="H300" s="4" t="s">
        <v>951</v>
      </c>
    </row>
    <row r="301" spans="1:8" x14ac:dyDescent="0.55000000000000004">
      <c r="A301" s="4"/>
      <c r="B301" s="5" t="s">
        <v>952</v>
      </c>
      <c r="C301" s="5" t="s">
        <v>952</v>
      </c>
      <c r="D301" s="4" t="s">
        <v>132</v>
      </c>
      <c r="E301" s="5" t="s">
        <v>953</v>
      </c>
      <c r="F301" s="4"/>
      <c r="G301" s="5" t="s">
        <v>954</v>
      </c>
      <c r="H301" s="4" t="s">
        <v>144</v>
      </c>
    </row>
    <row r="302" spans="1:8" x14ac:dyDescent="0.55000000000000004">
      <c r="A302" s="4"/>
      <c r="B302" s="5" t="s">
        <v>955</v>
      </c>
      <c r="C302" s="5" t="s">
        <v>955</v>
      </c>
      <c r="D302" s="4" t="s">
        <v>21</v>
      </c>
      <c r="E302" s="5" t="s">
        <v>956</v>
      </c>
      <c r="F302" s="4" t="s">
        <v>957</v>
      </c>
      <c r="G302" s="5"/>
      <c r="H302" s="4" t="s">
        <v>24</v>
      </c>
    </row>
    <row r="303" spans="1:8" x14ac:dyDescent="0.55000000000000004">
      <c r="A303" s="4"/>
      <c r="B303" s="5" t="s">
        <v>958</v>
      </c>
      <c r="C303" s="5" t="s">
        <v>958</v>
      </c>
      <c r="D303" s="4" t="s">
        <v>21</v>
      </c>
      <c r="E303" s="5" t="s">
        <v>959</v>
      </c>
      <c r="F303" s="4" t="s">
        <v>422</v>
      </c>
      <c r="G303" s="5" t="s">
        <v>960</v>
      </c>
      <c r="H303" s="4" t="s">
        <v>144</v>
      </c>
    </row>
    <row r="304" spans="1:8" x14ac:dyDescent="0.55000000000000004">
      <c r="A304" s="4"/>
      <c r="B304" s="5" t="s">
        <v>961</v>
      </c>
      <c r="C304" s="5" t="s">
        <v>961</v>
      </c>
      <c r="D304" s="4" t="s">
        <v>42</v>
      </c>
      <c r="E304" s="5" t="s">
        <v>962</v>
      </c>
      <c r="F304" s="4" t="s">
        <v>963</v>
      </c>
      <c r="G304" s="5"/>
      <c r="H304" s="4" t="s">
        <v>24</v>
      </c>
    </row>
    <row r="305" spans="1:8" x14ac:dyDescent="0.55000000000000004">
      <c r="A305" s="4"/>
      <c r="B305" s="5" t="s">
        <v>964</v>
      </c>
      <c r="C305" s="5" t="s">
        <v>964</v>
      </c>
      <c r="D305" s="9" t="s">
        <v>46</v>
      </c>
      <c r="E305" s="5" t="s">
        <v>965</v>
      </c>
      <c r="F305" s="4" t="s">
        <v>39</v>
      </c>
      <c r="G305" s="5" t="s">
        <v>966</v>
      </c>
      <c r="H305" s="4" t="s">
        <v>39</v>
      </c>
    </row>
    <row r="306" spans="1:8" x14ac:dyDescent="0.55000000000000004">
      <c r="A306" s="4"/>
      <c r="B306" s="5" t="s">
        <v>967</v>
      </c>
      <c r="C306" s="5" t="s">
        <v>967</v>
      </c>
      <c r="D306" s="9" t="s">
        <v>46</v>
      </c>
      <c r="E306" s="5" t="s">
        <v>968</v>
      </c>
      <c r="F306" s="4" t="s">
        <v>39</v>
      </c>
      <c r="G306" s="5" t="s">
        <v>966</v>
      </c>
      <c r="H306" s="4" t="s">
        <v>39</v>
      </c>
    </row>
    <row r="307" spans="1:8" x14ac:dyDescent="0.55000000000000004">
      <c r="A307" s="4"/>
      <c r="B307" s="5" t="s">
        <v>969</v>
      </c>
      <c r="C307" s="5" t="s">
        <v>969</v>
      </c>
      <c r="D307" s="4" t="s">
        <v>21</v>
      </c>
      <c r="E307" s="5" t="s">
        <v>970</v>
      </c>
      <c r="F307" s="4" t="s">
        <v>39</v>
      </c>
      <c r="G307" s="5" t="s">
        <v>966</v>
      </c>
      <c r="H307" s="4" t="s">
        <v>39</v>
      </c>
    </row>
    <row r="308" spans="1:8" x14ac:dyDescent="0.55000000000000004">
      <c r="A308" s="4"/>
      <c r="B308" s="5" t="s">
        <v>971</v>
      </c>
      <c r="C308" s="5" t="s">
        <v>971</v>
      </c>
      <c r="D308" s="4" t="s">
        <v>132</v>
      </c>
      <c r="E308" s="5" t="s">
        <v>972</v>
      </c>
      <c r="F308" s="4"/>
      <c r="G308" s="5" t="s">
        <v>973</v>
      </c>
      <c r="H308" s="4" t="s">
        <v>24</v>
      </c>
    </row>
    <row r="309" spans="1:8" x14ac:dyDescent="0.55000000000000004">
      <c r="A309" s="4"/>
      <c r="B309" s="5" t="s">
        <v>974</v>
      </c>
      <c r="C309" s="5" t="s">
        <v>974</v>
      </c>
      <c r="D309" s="4" t="s">
        <v>13</v>
      </c>
      <c r="E309" s="5" t="s">
        <v>975</v>
      </c>
      <c r="F309" s="4" t="s">
        <v>976</v>
      </c>
      <c r="G309" s="5" t="s">
        <v>977</v>
      </c>
      <c r="H309" s="4" t="s">
        <v>24</v>
      </c>
    </row>
    <row r="310" spans="1:8" x14ac:dyDescent="0.55000000000000004">
      <c r="A310" s="4"/>
      <c r="B310" s="5" t="s">
        <v>978</v>
      </c>
      <c r="C310" s="5" t="s">
        <v>979</v>
      </c>
      <c r="D310" s="4" t="s">
        <v>372</v>
      </c>
      <c r="E310" s="5" t="s">
        <v>980</v>
      </c>
      <c r="F310" s="4" t="s">
        <v>134</v>
      </c>
      <c r="G310" s="5" t="s">
        <v>981</v>
      </c>
      <c r="H310" s="4" t="s">
        <v>151</v>
      </c>
    </row>
    <row r="311" spans="1:8" x14ac:dyDescent="0.55000000000000004">
      <c r="A311" s="4"/>
      <c r="B311" s="5" t="s">
        <v>982</v>
      </c>
      <c r="C311" s="5" t="s">
        <v>982</v>
      </c>
      <c r="D311" s="4" t="s">
        <v>42</v>
      </c>
      <c r="E311" s="5" t="s">
        <v>983</v>
      </c>
      <c r="F311" s="4" t="s">
        <v>422</v>
      </c>
      <c r="G311" s="5" t="s">
        <v>984</v>
      </c>
      <c r="H311" s="4" t="s">
        <v>144</v>
      </c>
    </row>
    <row r="312" spans="1:8" x14ac:dyDescent="0.55000000000000004">
      <c r="A312" s="4"/>
      <c r="B312" s="5" t="s">
        <v>985</v>
      </c>
      <c r="C312" s="5" t="s">
        <v>985</v>
      </c>
      <c r="D312" s="4" t="s">
        <v>372</v>
      </c>
      <c r="E312" s="5" t="s">
        <v>986</v>
      </c>
      <c r="F312" s="4"/>
      <c r="G312" s="5" t="s">
        <v>987</v>
      </c>
      <c r="H312" s="4" t="s">
        <v>616</v>
      </c>
    </row>
    <row r="313" spans="1:8" x14ac:dyDescent="0.55000000000000004">
      <c r="A313" s="4"/>
      <c r="B313" s="5" t="s">
        <v>988</v>
      </c>
      <c r="C313" s="5" t="s">
        <v>988</v>
      </c>
      <c r="D313" s="4" t="s">
        <v>46</v>
      </c>
      <c r="E313" s="5" t="s">
        <v>989</v>
      </c>
      <c r="F313" s="4" t="s">
        <v>39</v>
      </c>
      <c r="G313" s="5"/>
      <c r="H313" s="4" t="s">
        <v>39</v>
      </c>
    </row>
    <row r="314" spans="1:8" x14ac:dyDescent="0.55000000000000004">
      <c r="A314" s="4"/>
      <c r="B314" s="5" t="s">
        <v>990</v>
      </c>
      <c r="C314" s="5" t="s">
        <v>990</v>
      </c>
      <c r="D314" s="4" t="s">
        <v>21</v>
      </c>
      <c r="E314" s="5" t="s">
        <v>991</v>
      </c>
      <c r="F314" s="4"/>
      <c r="G314" s="5"/>
      <c r="H314" s="4" t="s">
        <v>144</v>
      </c>
    </row>
    <row r="315" spans="1:8" x14ac:dyDescent="0.55000000000000004">
      <c r="A315" s="4"/>
      <c r="B315" s="5" t="s">
        <v>992</v>
      </c>
      <c r="C315" s="5" t="s">
        <v>992</v>
      </c>
      <c r="D315" s="4" t="s">
        <v>46</v>
      </c>
      <c r="E315" s="5" t="s">
        <v>993</v>
      </c>
      <c r="F315" s="4"/>
      <c r="G315" s="5"/>
      <c r="H315" s="4" t="s">
        <v>144</v>
      </c>
    </row>
    <row r="316" spans="1:8" x14ac:dyDescent="0.55000000000000004">
      <c r="A316" s="4"/>
      <c r="B316" s="5" t="s">
        <v>994</v>
      </c>
      <c r="C316" s="5" t="s">
        <v>994</v>
      </c>
      <c r="D316" s="4" t="s">
        <v>21</v>
      </c>
      <c r="E316" s="5" t="s">
        <v>995</v>
      </c>
      <c r="F316" s="4" t="s">
        <v>134</v>
      </c>
      <c r="G316" s="5"/>
      <c r="H316" s="4" t="s">
        <v>286</v>
      </c>
    </row>
    <row r="317" spans="1:8" x14ac:dyDescent="0.55000000000000004">
      <c r="A317" s="4"/>
      <c r="B317" s="5" t="s">
        <v>996</v>
      </c>
      <c r="C317" s="5" t="s">
        <v>996</v>
      </c>
      <c r="D317" s="4" t="s">
        <v>46</v>
      </c>
      <c r="E317" s="5" t="s">
        <v>997</v>
      </c>
      <c r="F317" s="4" t="s">
        <v>998</v>
      </c>
      <c r="G317" s="5" t="s">
        <v>999</v>
      </c>
      <c r="H317" s="4" t="s">
        <v>39</v>
      </c>
    </row>
    <row r="318" spans="1:8" x14ac:dyDescent="0.55000000000000004">
      <c r="A318" s="4"/>
      <c r="B318" s="5" t="s">
        <v>1000</v>
      </c>
      <c r="C318" s="5" t="s">
        <v>1000</v>
      </c>
      <c r="D318" s="9" t="s">
        <v>46</v>
      </c>
      <c r="E318" s="5" t="s">
        <v>1001</v>
      </c>
      <c r="F318" s="4"/>
      <c r="G318" s="5" t="s">
        <v>1002</v>
      </c>
      <c r="H318" s="4" t="s">
        <v>24</v>
      </c>
    </row>
    <row r="319" spans="1:8" x14ac:dyDescent="0.55000000000000004">
      <c r="A319" s="4"/>
      <c r="B319" s="5" t="s">
        <v>1003</v>
      </c>
      <c r="C319" s="5" t="s">
        <v>1003</v>
      </c>
      <c r="D319" s="9" t="s">
        <v>46</v>
      </c>
      <c r="E319" s="5" t="s">
        <v>1004</v>
      </c>
      <c r="F319" s="4" t="s">
        <v>99</v>
      </c>
      <c r="G319" s="5"/>
      <c r="H319" s="4" t="s">
        <v>24</v>
      </c>
    </row>
    <row r="320" spans="1:8" x14ac:dyDescent="0.55000000000000004">
      <c r="A320" s="4"/>
      <c r="B320" s="5" t="s">
        <v>1005</v>
      </c>
      <c r="C320" s="5" t="s">
        <v>1005</v>
      </c>
      <c r="D320" s="9" t="s">
        <v>42</v>
      </c>
      <c r="E320" s="5" t="s">
        <v>1006</v>
      </c>
      <c r="F320" s="4" t="s">
        <v>1007</v>
      </c>
      <c r="G320" s="5"/>
      <c r="H320" s="4" t="s">
        <v>24</v>
      </c>
    </row>
    <row r="321" spans="1:8" x14ac:dyDescent="0.55000000000000004">
      <c r="A321" s="4"/>
      <c r="B321" s="5" t="s">
        <v>1008</v>
      </c>
      <c r="C321" s="5" t="s">
        <v>1008</v>
      </c>
      <c r="D321" s="9" t="s">
        <v>46</v>
      </c>
      <c r="E321" s="5" t="s">
        <v>1009</v>
      </c>
      <c r="F321" s="4" t="s">
        <v>134</v>
      </c>
      <c r="G321" s="5" t="s">
        <v>1010</v>
      </c>
      <c r="H321" s="4" t="s">
        <v>151</v>
      </c>
    </row>
    <row r="322" spans="1:8" x14ac:dyDescent="0.55000000000000004">
      <c r="A322" s="4"/>
      <c r="B322" s="5" t="s">
        <v>1011</v>
      </c>
      <c r="C322" s="5" t="s">
        <v>1011</v>
      </c>
      <c r="D322" s="9" t="s">
        <v>42</v>
      </c>
      <c r="E322" s="5" t="s">
        <v>1012</v>
      </c>
      <c r="F322" s="4" t="s">
        <v>99</v>
      </c>
      <c r="G322" s="5"/>
      <c r="H322" s="4" t="s">
        <v>24</v>
      </c>
    </row>
    <row r="323" spans="1:8" x14ac:dyDescent="0.55000000000000004">
      <c r="A323" s="4"/>
      <c r="B323" s="5" t="s">
        <v>1013</v>
      </c>
      <c r="C323" s="5" t="s">
        <v>1013</v>
      </c>
      <c r="D323" s="4" t="s">
        <v>372</v>
      </c>
      <c r="E323" s="5" t="s">
        <v>1014</v>
      </c>
      <c r="F323" s="4"/>
      <c r="G323" s="5" t="s">
        <v>1015</v>
      </c>
      <c r="H323" s="4" t="s">
        <v>144</v>
      </c>
    </row>
    <row r="324" spans="1:8" x14ac:dyDescent="0.55000000000000004">
      <c r="A324" s="4"/>
      <c r="B324" s="5" t="s">
        <v>1016</v>
      </c>
      <c r="C324" s="5" t="s">
        <v>1016</v>
      </c>
      <c r="D324" s="4" t="s">
        <v>132</v>
      </c>
      <c r="E324" s="5" t="s">
        <v>1017</v>
      </c>
      <c r="F324" s="4" t="s">
        <v>1018</v>
      </c>
      <c r="G324" s="5"/>
      <c r="H324" s="4" t="s">
        <v>144</v>
      </c>
    </row>
    <row r="325" spans="1:8" x14ac:dyDescent="0.55000000000000004">
      <c r="A325" s="4"/>
      <c r="B325" s="5" t="s">
        <v>1019</v>
      </c>
      <c r="C325" s="5" t="s">
        <v>1019</v>
      </c>
      <c r="D325" s="4" t="s">
        <v>132</v>
      </c>
      <c r="E325" s="5" t="s">
        <v>1020</v>
      </c>
      <c r="F325" s="4"/>
      <c r="G325" s="5" t="s">
        <v>1021</v>
      </c>
      <c r="H325" s="4" t="s">
        <v>144</v>
      </c>
    </row>
    <row r="326" spans="1:8" x14ac:dyDescent="0.55000000000000004">
      <c r="A326" s="4"/>
      <c r="B326" s="5" t="s">
        <v>1022</v>
      </c>
      <c r="C326" s="5" t="s">
        <v>1022</v>
      </c>
      <c r="D326" s="9" t="s">
        <v>21</v>
      </c>
      <c r="E326" s="5" t="s">
        <v>1023</v>
      </c>
      <c r="F326" s="4"/>
      <c r="G326" s="5" t="s">
        <v>1024</v>
      </c>
      <c r="H326" s="4"/>
    </row>
    <row r="327" spans="1:8" x14ac:dyDescent="0.55000000000000004">
      <c r="A327" s="4"/>
      <c r="B327" s="5" t="s">
        <v>1025</v>
      </c>
      <c r="C327" s="5" t="s">
        <v>1025</v>
      </c>
      <c r="D327" s="4" t="s">
        <v>21</v>
      </c>
      <c r="E327" s="5" t="s">
        <v>1026</v>
      </c>
      <c r="F327" s="4"/>
      <c r="G327" s="5"/>
      <c r="H327" s="4" t="s">
        <v>151</v>
      </c>
    </row>
    <row r="328" spans="1:8" x14ac:dyDescent="0.55000000000000004">
      <c r="A328" s="4"/>
      <c r="B328" s="5" t="s">
        <v>1027</v>
      </c>
      <c r="C328" s="5" t="s">
        <v>1027</v>
      </c>
      <c r="D328" s="4" t="s">
        <v>49</v>
      </c>
      <c r="E328" s="5" t="s">
        <v>1028</v>
      </c>
      <c r="F328" s="4" t="s">
        <v>134</v>
      </c>
      <c r="G328" s="5" t="s">
        <v>1029</v>
      </c>
      <c r="H328" s="4" t="s">
        <v>144</v>
      </c>
    </row>
    <row r="329" spans="1:8" x14ac:dyDescent="0.55000000000000004">
      <c r="A329" s="13"/>
      <c r="B329" s="14" t="s">
        <v>1030</v>
      </c>
      <c r="C329" s="2" t="s">
        <v>1030</v>
      </c>
      <c r="D329" s="15" t="s">
        <v>13</v>
      </c>
      <c r="E329" s="5" t="s">
        <v>1031</v>
      </c>
      <c r="F329" s="4" t="s">
        <v>39</v>
      </c>
      <c r="G329" s="5" t="s">
        <v>1032</v>
      </c>
      <c r="H329" s="4" t="s">
        <v>39</v>
      </c>
    </row>
    <row r="330" spans="1:8" x14ac:dyDescent="0.55000000000000004">
      <c r="A330" s="4"/>
      <c r="B330" s="5" t="s">
        <v>1033</v>
      </c>
      <c r="C330" s="5" t="s">
        <v>1033</v>
      </c>
      <c r="D330" s="4" t="s">
        <v>132</v>
      </c>
      <c r="E330" s="5" t="s">
        <v>1034</v>
      </c>
      <c r="F330" s="4" t="s">
        <v>39</v>
      </c>
      <c r="G330" s="5" t="s">
        <v>1032</v>
      </c>
      <c r="H330" s="4" t="s">
        <v>39</v>
      </c>
    </row>
    <row r="331" spans="1:8" x14ac:dyDescent="0.55000000000000004">
      <c r="A331" s="4"/>
      <c r="B331" s="5" t="s">
        <v>1035</v>
      </c>
      <c r="C331" s="5" t="s">
        <v>1035</v>
      </c>
      <c r="D331" s="4" t="s">
        <v>132</v>
      </c>
      <c r="E331" s="5" t="s">
        <v>1036</v>
      </c>
      <c r="F331" s="4" t="s">
        <v>134</v>
      </c>
      <c r="G331" s="5" t="s">
        <v>1037</v>
      </c>
      <c r="H331" s="4" t="s">
        <v>151</v>
      </c>
    </row>
    <row r="332" spans="1:8" x14ac:dyDescent="0.55000000000000004">
      <c r="A332" s="4"/>
      <c r="B332" s="5" t="s">
        <v>1038</v>
      </c>
      <c r="C332" s="5" t="s">
        <v>1038</v>
      </c>
      <c r="D332" s="4" t="s">
        <v>111</v>
      </c>
      <c r="E332" s="5" t="s">
        <v>1039</v>
      </c>
      <c r="F332" s="4" t="s">
        <v>286</v>
      </c>
      <c r="G332" s="5"/>
      <c r="H332" s="4" t="s">
        <v>286</v>
      </c>
    </row>
    <row r="333" spans="1:8" x14ac:dyDescent="0.55000000000000004">
      <c r="A333" s="4"/>
      <c r="B333" s="5" t="s">
        <v>1040</v>
      </c>
      <c r="C333" s="5" t="s">
        <v>1040</v>
      </c>
      <c r="D333" s="4" t="s">
        <v>21</v>
      </c>
      <c r="E333" s="5" t="s">
        <v>1041</v>
      </c>
      <c r="F333" s="4" t="s">
        <v>39</v>
      </c>
      <c r="G333" s="5"/>
      <c r="H333" s="4" t="s">
        <v>39</v>
      </c>
    </row>
    <row r="334" spans="1:8" x14ac:dyDescent="0.55000000000000004">
      <c r="A334" s="4"/>
      <c r="B334" s="5" t="s">
        <v>1042</v>
      </c>
      <c r="C334" s="5" t="s">
        <v>1042</v>
      </c>
      <c r="D334" s="4" t="s">
        <v>13</v>
      </c>
      <c r="E334" s="5" t="s">
        <v>1043</v>
      </c>
      <c r="F334" s="4" t="s">
        <v>39</v>
      </c>
      <c r="G334" s="5"/>
      <c r="H334" s="4" t="s">
        <v>39</v>
      </c>
    </row>
    <row r="335" spans="1:8" x14ac:dyDescent="0.55000000000000004">
      <c r="A335" s="4"/>
      <c r="B335" s="5" t="s">
        <v>1044</v>
      </c>
      <c r="C335" s="5" t="s">
        <v>1044</v>
      </c>
      <c r="D335" s="4" t="s">
        <v>13</v>
      </c>
      <c r="E335" s="5" t="s">
        <v>1045</v>
      </c>
      <c r="F335" s="4" t="s">
        <v>39</v>
      </c>
      <c r="G335" s="5"/>
      <c r="H335" s="4" t="s">
        <v>39</v>
      </c>
    </row>
    <row r="336" spans="1:8" x14ac:dyDescent="0.55000000000000004">
      <c r="A336" s="4"/>
      <c r="B336" s="5" t="s">
        <v>1046</v>
      </c>
      <c r="C336" s="5" t="s">
        <v>1046</v>
      </c>
      <c r="D336" s="4" t="s">
        <v>21</v>
      </c>
      <c r="E336" s="5" t="s">
        <v>1047</v>
      </c>
      <c r="F336" s="4" t="s">
        <v>39</v>
      </c>
      <c r="G336" s="5"/>
      <c r="H336" s="4" t="s">
        <v>39</v>
      </c>
    </row>
    <row r="337" spans="1:9" x14ac:dyDescent="0.55000000000000004">
      <c r="A337" s="4"/>
      <c r="B337" s="5" t="s">
        <v>1048</v>
      </c>
      <c r="C337" s="5" t="s">
        <v>1048</v>
      </c>
      <c r="D337" s="4" t="s">
        <v>21</v>
      </c>
      <c r="E337" s="5" t="s">
        <v>1049</v>
      </c>
      <c r="F337" s="4"/>
      <c r="G337" s="5" t="s">
        <v>1050</v>
      </c>
      <c r="H337" s="4" t="s">
        <v>1051</v>
      </c>
    </row>
    <row r="338" spans="1:9" x14ac:dyDescent="0.55000000000000004">
      <c r="A338" s="4"/>
      <c r="B338" s="5" t="s">
        <v>1052</v>
      </c>
      <c r="C338" s="5" t="s">
        <v>1052</v>
      </c>
      <c r="D338" s="4" t="s">
        <v>13</v>
      </c>
      <c r="E338" s="5" t="s">
        <v>1053</v>
      </c>
      <c r="F338" s="4"/>
      <c r="G338" s="5" t="s">
        <v>1054</v>
      </c>
      <c r="H338" s="4" t="s">
        <v>144</v>
      </c>
    </row>
    <row r="339" spans="1:9" x14ac:dyDescent="0.55000000000000004">
      <c r="A339" s="4"/>
      <c r="B339" s="5" t="s">
        <v>1055</v>
      </c>
      <c r="C339" s="5" t="s">
        <v>1055</v>
      </c>
      <c r="D339" s="4" t="s">
        <v>49</v>
      </c>
      <c r="E339" s="5" t="s">
        <v>1056</v>
      </c>
      <c r="F339" s="3"/>
      <c r="G339" s="5" t="s">
        <v>1057</v>
      </c>
      <c r="H339" s="4" t="s">
        <v>144</v>
      </c>
    </row>
    <row r="340" spans="1:9" x14ac:dyDescent="0.55000000000000004">
      <c r="A340" s="4"/>
      <c r="B340" s="5" t="s">
        <v>1058</v>
      </c>
      <c r="C340" s="5" t="s">
        <v>1058</v>
      </c>
      <c r="D340" s="4" t="s">
        <v>21</v>
      </c>
      <c r="E340" s="5" t="s">
        <v>1059</v>
      </c>
      <c r="F340" s="3" t="s">
        <v>417</v>
      </c>
      <c r="G340" s="5"/>
      <c r="H340" s="4" t="s">
        <v>24</v>
      </c>
    </row>
    <row r="341" spans="1:9" x14ac:dyDescent="0.55000000000000004">
      <c r="A341" s="4"/>
      <c r="B341" s="5" t="s">
        <v>1060</v>
      </c>
      <c r="C341" s="5" t="s">
        <v>1060</v>
      </c>
      <c r="D341" s="4" t="s">
        <v>132</v>
      </c>
      <c r="E341" s="5" t="s">
        <v>1061</v>
      </c>
      <c r="F341" s="3"/>
      <c r="G341" s="5"/>
      <c r="H341" s="4" t="s">
        <v>144</v>
      </c>
    </row>
    <row r="342" spans="1:9" x14ac:dyDescent="0.55000000000000004">
      <c r="A342" s="4"/>
      <c r="B342" s="5" t="s">
        <v>1062</v>
      </c>
      <c r="C342" s="5" t="s">
        <v>1062</v>
      </c>
      <c r="D342" s="4" t="s">
        <v>132</v>
      </c>
      <c r="E342" s="5" t="s">
        <v>1063</v>
      </c>
      <c r="F342" s="3"/>
      <c r="G342" s="5" t="s">
        <v>1064</v>
      </c>
      <c r="H342" s="4" t="s">
        <v>144</v>
      </c>
    </row>
    <row r="343" spans="1:9" x14ac:dyDescent="0.55000000000000004">
      <c r="A343" s="4"/>
      <c r="B343" s="5" t="s">
        <v>1065</v>
      </c>
      <c r="C343" s="5" t="s">
        <v>1065</v>
      </c>
      <c r="D343" s="4" t="s">
        <v>21</v>
      </c>
      <c r="E343" s="5" t="s">
        <v>1066</v>
      </c>
      <c r="F343" s="4" t="s">
        <v>39</v>
      </c>
      <c r="G343" s="5" t="s">
        <v>1067</v>
      </c>
      <c r="H343" s="4" t="s">
        <v>39</v>
      </c>
    </row>
    <row r="344" spans="1:9" x14ac:dyDescent="0.55000000000000004">
      <c r="A344" s="4"/>
      <c r="B344" s="5" t="s">
        <v>1068</v>
      </c>
      <c r="C344" s="5" t="s">
        <v>1068</v>
      </c>
      <c r="D344" s="4" t="s">
        <v>132</v>
      </c>
      <c r="E344" s="5" t="s">
        <v>1069</v>
      </c>
      <c r="F344" s="3" t="s">
        <v>1070</v>
      </c>
      <c r="G344" s="5"/>
      <c r="H344" s="4" t="s">
        <v>151</v>
      </c>
    </row>
    <row r="345" spans="1:9" x14ac:dyDescent="0.55000000000000004">
      <c r="A345" s="4"/>
      <c r="B345" s="5" t="s">
        <v>1071</v>
      </c>
      <c r="C345" s="5" t="s">
        <v>1071</v>
      </c>
      <c r="D345" s="4" t="s">
        <v>468</v>
      </c>
      <c r="E345" s="5" t="s">
        <v>1072</v>
      </c>
      <c r="F345" s="4" t="s">
        <v>39</v>
      </c>
      <c r="G345" s="5"/>
      <c r="H345" s="4" t="s">
        <v>39</v>
      </c>
    </row>
    <row r="346" spans="1:9" x14ac:dyDescent="0.55000000000000004">
      <c r="A346" s="4">
        <v>59</v>
      </c>
      <c r="B346" s="5" t="s">
        <v>1073</v>
      </c>
      <c r="C346" s="5" t="s">
        <v>1073</v>
      </c>
      <c r="D346" s="4" t="s">
        <v>111</v>
      </c>
      <c r="E346" s="5" t="s">
        <v>1074</v>
      </c>
      <c r="F346" s="4" t="s">
        <v>28</v>
      </c>
      <c r="G346" s="5" t="s">
        <v>1075</v>
      </c>
      <c r="H346" s="4" t="s">
        <v>24</v>
      </c>
    </row>
    <row r="347" spans="1:9" x14ac:dyDescent="0.55000000000000004">
      <c r="A347" s="4"/>
      <c r="B347" s="5" t="s">
        <v>1076</v>
      </c>
      <c r="C347" s="5" t="s">
        <v>1076</v>
      </c>
      <c r="D347" s="4" t="s">
        <v>21</v>
      </c>
      <c r="E347" s="5" t="s">
        <v>1077</v>
      </c>
      <c r="F347" s="4" t="s">
        <v>134</v>
      </c>
      <c r="G347" s="5" t="s">
        <v>1078</v>
      </c>
      <c r="H347" s="4" t="s">
        <v>279</v>
      </c>
    </row>
    <row r="348" spans="1:9" x14ac:dyDescent="0.55000000000000004">
      <c r="A348" s="4"/>
      <c r="B348" s="5" t="s">
        <v>1079</v>
      </c>
      <c r="C348" s="5" t="s">
        <v>1080</v>
      </c>
      <c r="D348" s="4" t="s">
        <v>13</v>
      </c>
      <c r="E348" s="5" t="s">
        <v>858</v>
      </c>
      <c r="F348" s="4"/>
      <c r="G348" s="5"/>
      <c r="H348" s="4" t="s">
        <v>1081</v>
      </c>
    </row>
    <row r="349" spans="1:9" x14ac:dyDescent="0.55000000000000004">
      <c r="A349" s="4">
        <v>6</v>
      </c>
      <c r="B349" s="5" t="s">
        <v>1082</v>
      </c>
      <c r="C349" s="5" t="s">
        <v>1083</v>
      </c>
      <c r="D349" s="4" t="s">
        <v>21</v>
      </c>
      <c r="E349" s="5" t="s">
        <v>1084</v>
      </c>
      <c r="F349" s="4" t="s">
        <v>28</v>
      </c>
      <c r="G349" s="5" t="s">
        <v>1085</v>
      </c>
      <c r="H349" s="4" t="s">
        <v>1086</v>
      </c>
    </row>
    <row r="350" spans="1:9" x14ac:dyDescent="0.55000000000000004">
      <c r="A350" s="4">
        <v>6</v>
      </c>
      <c r="B350" s="5" t="s">
        <v>1087</v>
      </c>
      <c r="C350" s="5" t="s">
        <v>1088</v>
      </c>
      <c r="D350" s="4" t="s">
        <v>21</v>
      </c>
      <c r="E350" s="5" t="s">
        <v>1089</v>
      </c>
      <c r="F350" s="4" t="s">
        <v>28</v>
      </c>
      <c r="G350" s="5" t="s">
        <v>1085</v>
      </c>
      <c r="H350" s="4" t="s">
        <v>1086</v>
      </c>
      <c r="I350" s="2" t="s">
        <v>1090</v>
      </c>
    </row>
    <row r="351" spans="1:9" x14ac:dyDescent="0.55000000000000004">
      <c r="A351" s="4"/>
      <c r="B351" s="5" t="s">
        <v>1091</v>
      </c>
      <c r="C351" s="5" t="s">
        <v>1091</v>
      </c>
      <c r="D351" s="4" t="s">
        <v>42</v>
      </c>
      <c r="E351" s="5" t="s">
        <v>1092</v>
      </c>
      <c r="F351" s="4" t="s">
        <v>39</v>
      </c>
      <c r="G351" s="5"/>
      <c r="H351" s="4" t="s">
        <v>39</v>
      </c>
    </row>
    <row r="352" spans="1:9" x14ac:dyDescent="0.55000000000000004">
      <c r="A352" s="4"/>
      <c r="B352" s="5" t="s">
        <v>1093</v>
      </c>
      <c r="C352" s="5" t="s">
        <v>1093</v>
      </c>
      <c r="D352" s="4" t="s">
        <v>21</v>
      </c>
      <c r="E352" s="5" t="s">
        <v>1094</v>
      </c>
      <c r="F352" s="4" t="s">
        <v>428</v>
      </c>
      <c r="G352" s="5"/>
      <c r="H352" s="4" t="s">
        <v>24</v>
      </c>
    </row>
    <row r="353" spans="1:9" x14ac:dyDescent="0.55000000000000004">
      <c r="A353" s="4"/>
      <c r="B353" s="5" t="s">
        <v>1095</v>
      </c>
      <c r="C353" s="5" t="s">
        <v>1096</v>
      </c>
      <c r="D353" s="4" t="s">
        <v>13</v>
      </c>
      <c r="E353" s="5" t="s">
        <v>1097</v>
      </c>
      <c r="F353" s="4" t="s">
        <v>251</v>
      </c>
      <c r="G353" s="5"/>
      <c r="H353" s="4" t="s">
        <v>24</v>
      </c>
    </row>
    <row r="354" spans="1:9" x14ac:dyDescent="0.55000000000000004">
      <c r="A354" s="4"/>
      <c r="B354" s="5" t="s">
        <v>1098</v>
      </c>
      <c r="C354" s="5" t="s">
        <v>1099</v>
      </c>
      <c r="D354" s="4" t="s">
        <v>372</v>
      </c>
      <c r="E354" s="5" t="s">
        <v>1100</v>
      </c>
      <c r="F354" s="4" t="s">
        <v>251</v>
      </c>
      <c r="G354" s="5"/>
      <c r="H354" s="4" t="s">
        <v>24</v>
      </c>
    </row>
    <row r="355" spans="1:9" x14ac:dyDescent="0.55000000000000004">
      <c r="A355" s="4"/>
      <c r="B355" s="5" t="s">
        <v>1101</v>
      </c>
      <c r="C355" s="5" t="s">
        <v>1102</v>
      </c>
      <c r="D355" s="4" t="s">
        <v>13</v>
      </c>
      <c r="E355" s="5" t="s">
        <v>1103</v>
      </c>
      <c r="F355" s="4" t="s">
        <v>39</v>
      </c>
      <c r="G355" s="5"/>
      <c r="H355" s="4" t="s">
        <v>39</v>
      </c>
    </row>
    <row r="356" spans="1:9" x14ac:dyDescent="0.55000000000000004">
      <c r="A356" s="4"/>
      <c r="B356" s="5" t="s">
        <v>1104</v>
      </c>
      <c r="C356" s="5" t="s">
        <v>1104</v>
      </c>
      <c r="D356" s="4" t="s">
        <v>13</v>
      </c>
      <c r="E356" s="5" t="s">
        <v>1105</v>
      </c>
      <c r="F356" s="4" t="s">
        <v>39</v>
      </c>
      <c r="G356" s="5"/>
      <c r="H356" s="4" t="s">
        <v>39</v>
      </c>
    </row>
    <row r="357" spans="1:9" x14ac:dyDescent="0.55000000000000004">
      <c r="A357" s="4"/>
      <c r="B357" s="5" t="s">
        <v>1106</v>
      </c>
      <c r="C357" s="5" t="s">
        <v>1106</v>
      </c>
      <c r="D357" s="4" t="s">
        <v>46</v>
      </c>
      <c r="E357" s="5" t="s">
        <v>1107</v>
      </c>
      <c r="F357" s="4" t="s">
        <v>39</v>
      </c>
      <c r="G357" s="5"/>
      <c r="H357" s="4" t="s">
        <v>39</v>
      </c>
    </row>
    <row r="358" spans="1:9" x14ac:dyDescent="0.55000000000000004">
      <c r="A358" s="4"/>
      <c r="B358" s="5" t="s">
        <v>1108</v>
      </c>
      <c r="C358" s="5" t="s">
        <v>1109</v>
      </c>
      <c r="D358" s="4" t="s">
        <v>13</v>
      </c>
      <c r="E358" s="5" t="s">
        <v>1110</v>
      </c>
      <c r="F358" s="4" t="s">
        <v>39</v>
      </c>
      <c r="G358" s="5"/>
      <c r="H358" s="4" t="s">
        <v>39</v>
      </c>
    </row>
    <row r="359" spans="1:9" x14ac:dyDescent="0.55000000000000004">
      <c r="A359" s="4">
        <v>74</v>
      </c>
      <c r="B359" s="5" t="s">
        <v>1111</v>
      </c>
      <c r="C359" s="5" t="s">
        <v>1111</v>
      </c>
      <c r="D359" s="4" t="s">
        <v>42</v>
      </c>
      <c r="E359" s="5" t="s">
        <v>1112</v>
      </c>
      <c r="F359" s="4" t="s">
        <v>28</v>
      </c>
      <c r="G359" s="5"/>
      <c r="H359" s="4"/>
    </row>
    <row r="360" spans="1:9" x14ac:dyDescent="0.55000000000000004">
      <c r="A360" s="4">
        <v>74</v>
      </c>
      <c r="B360" s="5" t="s">
        <v>1113</v>
      </c>
      <c r="C360" s="5" t="s">
        <v>1113</v>
      </c>
      <c r="D360" s="4" t="s">
        <v>42</v>
      </c>
      <c r="E360" s="5" t="s">
        <v>1114</v>
      </c>
      <c r="F360" s="4" t="s">
        <v>28</v>
      </c>
      <c r="G360" s="5"/>
      <c r="H360" s="4"/>
    </row>
    <row r="361" spans="1:9" x14ac:dyDescent="0.55000000000000004">
      <c r="A361" s="4">
        <v>22</v>
      </c>
      <c r="B361" s="5" t="s">
        <v>1115</v>
      </c>
      <c r="C361" s="5" t="s">
        <v>1115</v>
      </c>
      <c r="D361" s="4" t="s">
        <v>13</v>
      </c>
      <c r="E361" s="5" t="s">
        <v>1116</v>
      </c>
      <c r="F361" s="4" t="s">
        <v>28</v>
      </c>
      <c r="G361" s="5" t="s">
        <v>1117</v>
      </c>
      <c r="H361" s="4" t="s">
        <v>209</v>
      </c>
    </row>
    <row r="362" spans="1:9" x14ac:dyDescent="0.55000000000000004">
      <c r="A362" s="4">
        <v>22</v>
      </c>
      <c r="B362" s="5" t="s">
        <v>1118</v>
      </c>
      <c r="C362" s="5" t="s">
        <v>1118</v>
      </c>
      <c r="D362" s="4" t="s">
        <v>21</v>
      </c>
      <c r="E362" s="5" t="s">
        <v>1119</v>
      </c>
      <c r="F362" s="4" t="s">
        <v>28</v>
      </c>
      <c r="G362" s="5"/>
      <c r="H362" s="4" t="s">
        <v>209</v>
      </c>
      <c r="I362" s="2" t="s">
        <v>1120</v>
      </c>
    </row>
    <row r="363" spans="1:9" x14ac:dyDescent="0.55000000000000004">
      <c r="A363" s="4">
        <v>75</v>
      </c>
      <c r="B363" s="5" t="s">
        <v>1121</v>
      </c>
      <c r="C363" s="5" t="s">
        <v>1121</v>
      </c>
      <c r="D363" s="4" t="s">
        <v>21</v>
      </c>
      <c r="E363" s="5" t="s">
        <v>1122</v>
      </c>
      <c r="F363" s="4" t="s">
        <v>28</v>
      </c>
      <c r="G363" s="5"/>
      <c r="H363" s="4" t="s">
        <v>237</v>
      </c>
    </row>
    <row r="364" spans="1:9" x14ac:dyDescent="0.55000000000000004">
      <c r="A364" s="4"/>
      <c r="B364" s="5" t="s">
        <v>1123</v>
      </c>
      <c r="C364" s="5" t="s">
        <v>1123</v>
      </c>
      <c r="D364" s="4" t="s">
        <v>21</v>
      </c>
      <c r="E364" s="5" t="s">
        <v>1124</v>
      </c>
      <c r="F364" s="4" t="s">
        <v>39</v>
      </c>
      <c r="G364" s="5"/>
      <c r="H364" s="4" t="s">
        <v>39</v>
      </c>
    </row>
    <row r="365" spans="1:9" x14ac:dyDescent="0.55000000000000004">
      <c r="A365" s="4"/>
      <c r="B365" s="5" t="s">
        <v>1125</v>
      </c>
      <c r="C365" s="5" t="s">
        <v>1126</v>
      </c>
      <c r="D365" s="4" t="s">
        <v>21</v>
      </c>
      <c r="E365" s="5" t="s">
        <v>1127</v>
      </c>
      <c r="F365" s="4" t="s">
        <v>39</v>
      </c>
      <c r="G365" s="5"/>
      <c r="H365" s="4" t="s">
        <v>39</v>
      </c>
    </row>
    <row r="366" spans="1:9" x14ac:dyDescent="0.55000000000000004">
      <c r="A366" s="4">
        <v>76</v>
      </c>
      <c r="B366" s="5" t="s">
        <v>1128</v>
      </c>
      <c r="C366" s="5" t="s">
        <v>1128</v>
      </c>
      <c r="D366" s="4" t="s">
        <v>42</v>
      </c>
      <c r="E366" s="5" t="s">
        <v>1129</v>
      </c>
      <c r="F366" s="4" t="s">
        <v>28</v>
      </c>
      <c r="G366" s="5"/>
      <c r="H366" s="4" t="s">
        <v>1130</v>
      </c>
    </row>
    <row r="367" spans="1:9" x14ac:dyDescent="0.55000000000000004">
      <c r="A367" s="4"/>
      <c r="B367" s="5" t="s">
        <v>1131</v>
      </c>
      <c r="C367" s="5" t="s">
        <v>1131</v>
      </c>
      <c r="D367" s="4" t="s">
        <v>21</v>
      </c>
      <c r="E367" s="5" t="s">
        <v>1132</v>
      </c>
      <c r="F367" s="4" t="s">
        <v>39</v>
      </c>
      <c r="G367" s="5"/>
      <c r="H367" s="4" t="s">
        <v>39</v>
      </c>
    </row>
    <row r="368" spans="1:9" x14ac:dyDescent="0.55000000000000004">
      <c r="A368" s="4"/>
      <c r="B368" s="5" t="s">
        <v>1133</v>
      </c>
      <c r="C368" s="5" t="s">
        <v>1133</v>
      </c>
      <c r="D368" s="4" t="s">
        <v>13</v>
      </c>
      <c r="E368" s="5" t="s">
        <v>1134</v>
      </c>
      <c r="F368" s="4" t="s">
        <v>39</v>
      </c>
      <c r="G368" s="5"/>
      <c r="H368" s="4" t="s">
        <v>39</v>
      </c>
    </row>
    <row r="369" spans="1:8" x14ac:dyDescent="0.55000000000000004">
      <c r="A369" s="4"/>
      <c r="B369" s="5" t="s">
        <v>1135</v>
      </c>
      <c r="C369" s="5" t="s">
        <v>1135</v>
      </c>
      <c r="D369" s="4" t="s">
        <v>21</v>
      </c>
      <c r="E369" s="5" t="s">
        <v>1136</v>
      </c>
      <c r="F369" s="4" t="s">
        <v>39</v>
      </c>
      <c r="G369" s="5"/>
      <c r="H369" s="4" t="s">
        <v>39</v>
      </c>
    </row>
    <row r="370" spans="1:8" x14ac:dyDescent="0.55000000000000004">
      <c r="A370" s="4"/>
      <c r="B370" s="5" t="s">
        <v>1137</v>
      </c>
      <c r="C370" s="5" t="s">
        <v>1137</v>
      </c>
      <c r="D370" s="4" t="s">
        <v>21</v>
      </c>
      <c r="E370" s="5" t="s">
        <v>1138</v>
      </c>
      <c r="F370" s="4" t="s">
        <v>99</v>
      </c>
      <c r="G370" s="5" t="s">
        <v>1139</v>
      </c>
      <c r="H370" s="4" t="s">
        <v>24</v>
      </c>
    </row>
    <row r="371" spans="1:8" x14ac:dyDescent="0.55000000000000004">
      <c r="A371" s="4"/>
      <c r="B371" s="5" t="s">
        <v>1140</v>
      </c>
      <c r="C371" s="5" t="s">
        <v>1140</v>
      </c>
      <c r="D371" s="4" t="s">
        <v>21</v>
      </c>
      <c r="E371" s="5" t="s">
        <v>1141</v>
      </c>
      <c r="F371" s="4" t="s">
        <v>39</v>
      </c>
      <c r="G371" s="5"/>
      <c r="H371" s="4" t="s">
        <v>39</v>
      </c>
    </row>
    <row r="372" spans="1:8" x14ac:dyDescent="0.55000000000000004">
      <c r="A372" s="4">
        <v>78.099999999999994</v>
      </c>
      <c r="B372" s="5" t="s">
        <v>1142</v>
      </c>
      <c r="C372" s="5" t="s">
        <v>331</v>
      </c>
      <c r="D372" s="4" t="s">
        <v>42</v>
      </c>
      <c r="E372" s="5" t="s">
        <v>1143</v>
      </c>
      <c r="F372" s="4" t="s">
        <v>28</v>
      </c>
      <c r="G372" s="5"/>
      <c r="H372" s="4" t="s">
        <v>1144</v>
      </c>
    </row>
    <row r="373" spans="1:8" x14ac:dyDescent="0.55000000000000004">
      <c r="A373" s="4">
        <v>78</v>
      </c>
      <c r="B373" s="5" t="s">
        <v>1145</v>
      </c>
      <c r="C373" s="5" t="s">
        <v>1145</v>
      </c>
      <c r="D373" s="4" t="s">
        <v>21</v>
      </c>
      <c r="E373" s="5" t="s">
        <v>1146</v>
      </c>
      <c r="F373" s="4" t="s">
        <v>28</v>
      </c>
      <c r="G373" s="5" t="s">
        <v>1147</v>
      </c>
      <c r="H373" s="4" t="s">
        <v>1148</v>
      </c>
    </row>
    <row r="374" spans="1:8" x14ac:dyDescent="0.55000000000000004">
      <c r="A374" s="4"/>
      <c r="B374" s="5" t="s">
        <v>1149</v>
      </c>
      <c r="C374" s="5" t="s">
        <v>1149</v>
      </c>
      <c r="D374" s="4" t="s">
        <v>132</v>
      </c>
      <c r="E374" s="5" t="s">
        <v>1150</v>
      </c>
      <c r="F374" s="4" t="s">
        <v>39</v>
      </c>
      <c r="G374" s="5"/>
      <c r="H374" s="4" t="s">
        <v>39</v>
      </c>
    </row>
    <row r="375" spans="1:8" x14ac:dyDescent="0.55000000000000004">
      <c r="A375" s="4"/>
      <c r="B375" s="5" t="s">
        <v>1151</v>
      </c>
      <c r="C375" s="5" t="s">
        <v>1151</v>
      </c>
      <c r="D375" s="4" t="s">
        <v>158</v>
      </c>
      <c r="E375" s="4" t="s">
        <v>158</v>
      </c>
      <c r="F375" s="4" t="s">
        <v>39</v>
      </c>
      <c r="G375" s="5"/>
      <c r="H375" s="4" t="s">
        <v>39</v>
      </c>
    </row>
    <row r="376" spans="1:8" x14ac:dyDescent="0.55000000000000004">
      <c r="A376" s="4"/>
      <c r="B376" s="5" t="s">
        <v>1152</v>
      </c>
      <c r="C376" s="5" t="s">
        <v>1153</v>
      </c>
      <c r="D376" s="4" t="s">
        <v>13</v>
      </c>
      <c r="E376" s="5" t="s">
        <v>1154</v>
      </c>
      <c r="F376" s="4" t="s">
        <v>39</v>
      </c>
      <c r="G376" s="5"/>
      <c r="H376" s="4" t="s">
        <v>39</v>
      </c>
    </row>
    <row r="377" spans="1:8" x14ac:dyDescent="0.55000000000000004">
      <c r="A377" s="4"/>
      <c r="B377" s="5" t="s">
        <v>1155</v>
      </c>
      <c r="C377" s="5" t="s">
        <v>1152</v>
      </c>
      <c r="D377" s="4" t="s">
        <v>42</v>
      </c>
      <c r="E377" s="5" t="s">
        <v>1156</v>
      </c>
      <c r="F377" s="4" t="s">
        <v>39</v>
      </c>
      <c r="G377" s="5"/>
      <c r="H377" s="4" t="s">
        <v>39</v>
      </c>
    </row>
    <row r="378" spans="1:8" x14ac:dyDescent="0.55000000000000004">
      <c r="A378" s="4"/>
      <c r="B378" s="5" t="s">
        <v>1157</v>
      </c>
      <c r="C378" s="5" t="s">
        <v>1158</v>
      </c>
      <c r="D378" s="4" t="s">
        <v>21</v>
      </c>
      <c r="E378" s="5" t="s">
        <v>1159</v>
      </c>
      <c r="F378" s="4" t="s">
        <v>39</v>
      </c>
      <c r="G378" s="5" t="s">
        <v>1160</v>
      </c>
      <c r="H378" s="4" t="s">
        <v>39</v>
      </c>
    </row>
    <row r="379" spans="1:8" x14ac:dyDescent="0.55000000000000004">
      <c r="A379" s="4"/>
      <c r="B379" s="5" t="s">
        <v>1161</v>
      </c>
      <c r="C379" s="5" t="s">
        <v>1162</v>
      </c>
      <c r="D379" s="4" t="s">
        <v>21</v>
      </c>
      <c r="E379" s="5" t="s">
        <v>1163</v>
      </c>
      <c r="F379" s="4" t="s">
        <v>39</v>
      </c>
      <c r="G379" s="5"/>
      <c r="H379" s="4" t="s">
        <v>39</v>
      </c>
    </row>
    <row r="380" spans="1:8" x14ac:dyDescent="0.55000000000000004">
      <c r="A380" s="4"/>
      <c r="B380" s="5" t="s">
        <v>1164</v>
      </c>
      <c r="C380" s="5" t="s">
        <v>1165</v>
      </c>
      <c r="D380" s="4" t="s">
        <v>21</v>
      </c>
      <c r="E380" s="5" t="s">
        <v>1166</v>
      </c>
      <c r="F380" s="4" t="s">
        <v>39</v>
      </c>
      <c r="G380" s="5"/>
      <c r="H380" s="4" t="s">
        <v>39</v>
      </c>
    </row>
    <row r="381" spans="1:8" x14ac:dyDescent="0.55000000000000004">
      <c r="A381" s="4"/>
      <c r="B381" s="5" t="s">
        <v>1165</v>
      </c>
      <c r="C381" s="5" t="s">
        <v>1167</v>
      </c>
      <c r="D381" s="4" t="s">
        <v>21</v>
      </c>
      <c r="E381" s="5" t="s">
        <v>1168</v>
      </c>
      <c r="F381" s="4" t="s">
        <v>39</v>
      </c>
      <c r="G381" s="5"/>
      <c r="H381" s="4" t="s">
        <v>39</v>
      </c>
    </row>
    <row r="382" spans="1:8" x14ac:dyDescent="0.55000000000000004">
      <c r="A382" s="4"/>
      <c r="B382" s="5" t="s">
        <v>1169</v>
      </c>
      <c r="C382" s="5" t="s">
        <v>1170</v>
      </c>
      <c r="D382" s="9" t="s">
        <v>46</v>
      </c>
      <c r="E382" s="5" t="s">
        <v>1171</v>
      </c>
      <c r="F382" s="4" t="s">
        <v>39</v>
      </c>
      <c r="G382" s="5"/>
      <c r="H382" s="4" t="s">
        <v>39</v>
      </c>
    </row>
    <row r="383" spans="1:8" x14ac:dyDescent="0.55000000000000004">
      <c r="A383" s="4"/>
      <c r="B383" s="5" t="s">
        <v>1172</v>
      </c>
      <c r="C383" s="5" t="s">
        <v>1172</v>
      </c>
      <c r="D383" s="4" t="s">
        <v>13</v>
      </c>
      <c r="E383" s="5" t="s">
        <v>1173</v>
      </c>
      <c r="F383" s="4" t="s">
        <v>39</v>
      </c>
      <c r="G383" s="5"/>
      <c r="H383" s="4" t="s">
        <v>39</v>
      </c>
    </row>
    <row r="384" spans="1:8" x14ac:dyDescent="0.55000000000000004">
      <c r="A384" s="4"/>
      <c r="B384" s="5" t="s">
        <v>1174</v>
      </c>
      <c r="C384" s="5" t="s">
        <v>1175</v>
      </c>
      <c r="D384" s="4" t="s">
        <v>21</v>
      </c>
      <c r="E384" s="5" t="s">
        <v>1176</v>
      </c>
      <c r="F384" s="4" t="s">
        <v>1177</v>
      </c>
      <c r="G384" s="5"/>
      <c r="H384" s="4" t="s">
        <v>24</v>
      </c>
    </row>
    <row r="385" spans="1:8" x14ac:dyDescent="0.55000000000000004">
      <c r="A385" s="4"/>
      <c r="B385" s="5" t="s">
        <v>1178</v>
      </c>
      <c r="C385" s="5" t="s">
        <v>1179</v>
      </c>
      <c r="D385" s="4" t="s">
        <v>42</v>
      </c>
      <c r="E385" s="5" t="s">
        <v>1180</v>
      </c>
      <c r="F385" s="4" t="s">
        <v>39</v>
      </c>
      <c r="G385" s="5"/>
      <c r="H385" s="4" t="s">
        <v>39</v>
      </c>
    </row>
    <row r="386" spans="1:8" x14ac:dyDescent="0.55000000000000004">
      <c r="A386" s="4"/>
      <c r="B386" s="5" t="s">
        <v>1181</v>
      </c>
      <c r="C386" s="5" t="s">
        <v>1181</v>
      </c>
      <c r="D386" s="4" t="s">
        <v>13</v>
      </c>
      <c r="E386" s="5" t="s">
        <v>1182</v>
      </c>
      <c r="F386" s="4" t="s">
        <v>39</v>
      </c>
      <c r="G386" s="5"/>
      <c r="H386" s="4" t="s">
        <v>39</v>
      </c>
    </row>
    <row r="387" spans="1:8" x14ac:dyDescent="0.55000000000000004">
      <c r="A387" s="4"/>
      <c r="B387" s="5" t="s">
        <v>1183</v>
      </c>
      <c r="C387" s="5" t="s">
        <v>1184</v>
      </c>
      <c r="D387" s="4" t="s">
        <v>21</v>
      </c>
      <c r="E387" s="5" t="s">
        <v>1185</v>
      </c>
      <c r="F387" s="4" t="s">
        <v>39</v>
      </c>
      <c r="G387" s="5"/>
      <c r="H387" s="4" t="s">
        <v>39</v>
      </c>
    </row>
    <row r="388" spans="1:8" x14ac:dyDescent="0.55000000000000004">
      <c r="A388" s="4"/>
      <c r="B388" s="5" t="s">
        <v>1186</v>
      </c>
      <c r="C388" s="5" t="s">
        <v>1186</v>
      </c>
      <c r="D388" s="4" t="s">
        <v>13</v>
      </c>
      <c r="E388" s="5" t="s">
        <v>1187</v>
      </c>
      <c r="F388" s="4" t="s">
        <v>422</v>
      </c>
      <c r="G388" s="5"/>
      <c r="H388" s="4" t="s">
        <v>135</v>
      </c>
    </row>
    <row r="389" spans="1:8" x14ac:dyDescent="0.55000000000000004">
      <c r="A389" s="4"/>
      <c r="B389" s="5" t="s">
        <v>1188</v>
      </c>
      <c r="C389" s="5" t="s">
        <v>1188</v>
      </c>
      <c r="D389" s="4" t="s">
        <v>13</v>
      </c>
      <c r="E389" s="5" t="s">
        <v>1189</v>
      </c>
      <c r="F389" s="4" t="s">
        <v>39</v>
      </c>
      <c r="G389" s="5"/>
      <c r="H389" s="4" t="s">
        <v>39</v>
      </c>
    </row>
    <row r="390" spans="1:8" x14ac:dyDescent="0.55000000000000004">
      <c r="A390" s="4"/>
      <c r="B390" s="5" t="s">
        <v>1190</v>
      </c>
      <c r="C390" s="5" t="s">
        <v>1190</v>
      </c>
      <c r="D390" s="4" t="s">
        <v>13</v>
      </c>
      <c r="E390" s="5" t="s">
        <v>1191</v>
      </c>
      <c r="F390" s="4" t="s">
        <v>39</v>
      </c>
      <c r="G390" s="5"/>
      <c r="H390" s="4" t="s">
        <v>39</v>
      </c>
    </row>
    <row r="391" spans="1:8" x14ac:dyDescent="0.55000000000000004">
      <c r="A391" s="4"/>
      <c r="B391" s="5" t="s">
        <v>1192</v>
      </c>
      <c r="C391" s="5" t="s">
        <v>1192</v>
      </c>
      <c r="D391" s="4" t="s">
        <v>21</v>
      </c>
      <c r="E391" s="5" t="s">
        <v>1193</v>
      </c>
      <c r="F391" s="4" t="s">
        <v>39</v>
      </c>
      <c r="G391" s="5"/>
      <c r="H391" s="4" t="s">
        <v>39</v>
      </c>
    </row>
    <row r="392" spans="1:8" x14ac:dyDescent="0.55000000000000004">
      <c r="A392" s="4"/>
      <c r="B392" s="5" t="s">
        <v>1194</v>
      </c>
      <c r="C392" s="5" t="s">
        <v>1194</v>
      </c>
      <c r="D392" s="4" t="s">
        <v>21</v>
      </c>
      <c r="E392" s="5" t="s">
        <v>1195</v>
      </c>
      <c r="F392" s="4" t="s">
        <v>39</v>
      </c>
      <c r="G392" s="5"/>
      <c r="H392" s="4" t="s">
        <v>39</v>
      </c>
    </row>
    <row r="393" spans="1:8" x14ac:dyDescent="0.55000000000000004">
      <c r="A393" s="4"/>
      <c r="B393" s="5" t="s">
        <v>1196</v>
      </c>
      <c r="C393" s="5" t="s">
        <v>1196</v>
      </c>
      <c r="D393" s="4" t="s">
        <v>13</v>
      </c>
      <c r="E393" s="5" t="s">
        <v>1197</v>
      </c>
      <c r="F393" s="4" t="s">
        <v>39</v>
      </c>
      <c r="G393" s="5"/>
      <c r="H393" s="4" t="s">
        <v>39</v>
      </c>
    </row>
    <row r="394" spans="1:8" x14ac:dyDescent="0.55000000000000004">
      <c r="A394" s="4"/>
      <c r="B394" s="5" t="s">
        <v>1198</v>
      </c>
      <c r="C394" s="5" t="s">
        <v>1198</v>
      </c>
      <c r="D394" s="4" t="s">
        <v>21</v>
      </c>
      <c r="E394" s="5" t="s">
        <v>1199</v>
      </c>
      <c r="F394" s="4" t="s">
        <v>39</v>
      </c>
      <c r="G394" s="5"/>
      <c r="H394" s="4" t="s">
        <v>39</v>
      </c>
    </row>
    <row r="395" spans="1:8" x14ac:dyDescent="0.55000000000000004">
      <c r="A395" s="4"/>
      <c r="B395" s="5" t="s">
        <v>1200</v>
      </c>
      <c r="C395" s="5" t="s">
        <v>1200</v>
      </c>
      <c r="D395" s="4" t="s">
        <v>49</v>
      </c>
      <c r="E395" s="5" t="s">
        <v>1201</v>
      </c>
      <c r="F395" s="3" t="s">
        <v>848</v>
      </c>
      <c r="G395" s="5"/>
      <c r="H395" s="4" t="s">
        <v>24</v>
      </c>
    </row>
    <row r="396" spans="1:8" x14ac:dyDescent="0.55000000000000004">
      <c r="A396" s="4"/>
      <c r="B396" s="5" t="s">
        <v>1202</v>
      </c>
      <c r="C396" s="5" t="s">
        <v>1203</v>
      </c>
      <c r="D396" s="4" t="s">
        <v>13</v>
      </c>
      <c r="E396" s="5" t="s">
        <v>1204</v>
      </c>
      <c r="F396" s="4" t="s">
        <v>39</v>
      </c>
      <c r="G396" s="5"/>
      <c r="H396" s="4" t="s">
        <v>39</v>
      </c>
    </row>
    <row r="397" spans="1:8" x14ac:dyDescent="0.55000000000000004">
      <c r="A397" s="4"/>
      <c r="B397" s="5" t="s">
        <v>1205</v>
      </c>
      <c r="C397" s="5" t="s">
        <v>1206</v>
      </c>
      <c r="D397" s="4" t="s">
        <v>21</v>
      </c>
      <c r="E397" s="5" t="s">
        <v>1207</v>
      </c>
      <c r="F397" s="4" t="s">
        <v>39</v>
      </c>
      <c r="G397" s="5"/>
      <c r="H397" s="4" t="s">
        <v>39</v>
      </c>
    </row>
    <row r="398" spans="1:8" x14ac:dyDescent="0.55000000000000004">
      <c r="A398" s="4"/>
      <c r="B398" s="5" t="s">
        <v>1208</v>
      </c>
      <c r="C398" s="5" t="s">
        <v>1208</v>
      </c>
      <c r="D398" s="4" t="s">
        <v>21</v>
      </c>
      <c r="E398" s="5" t="s">
        <v>1209</v>
      </c>
      <c r="F398" s="4" t="s">
        <v>39</v>
      </c>
      <c r="G398" s="5"/>
      <c r="H398" s="4" t="s">
        <v>39</v>
      </c>
    </row>
    <row r="399" spans="1:8" x14ac:dyDescent="0.55000000000000004">
      <c r="A399" s="4"/>
      <c r="B399" s="5" t="s">
        <v>1210</v>
      </c>
      <c r="C399" s="5" t="s">
        <v>1210</v>
      </c>
      <c r="D399" s="4" t="s">
        <v>21</v>
      </c>
      <c r="E399" s="5" t="s">
        <v>1211</v>
      </c>
      <c r="F399" s="4" t="s">
        <v>39</v>
      </c>
      <c r="G399" s="5"/>
      <c r="H399" s="4" t="s">
        <v>39</v>
      </c>
    </row>
    <row r="400" spans="1:8" x14ac:dyDescent="0.55000000000000004">
      <c r="A400" s="4"/>
      <c r="B400" s="5" t="s">
        <v>1212</v>
      </c>
      <c r="C400" s="5" t="s">
        <v>1212</v>
      </c>
      <c r="D400" s="4" t="s">
        <v>13</v>
      </c>
      <c r="E400" s="5" t="s">
        <v>1213</v>
      </c>
      <c r="F400" s="4" t="s">
        <v>191</v>
      </c>
      <c r="G400" s="5"/>
      <c r="H400" s="4" t="s">
        <v>24</v>
      </c>
    </row>
    <row r="401" spans="1:8" x14ac:dyDescent="0.55000000000000004">
      <c r="A401" s="4"/>
      <c r="B401" s="5" t="s">
        <v>1214</v>
      </c>
      <c r="C401" s="5" t="s">
        <v>1214</v>
      </c>
      <c r="D401" s="4" t="s">
        <v>21</v>
      </c>
      <c r="E401" s="5" t="s">
        <v>1215</v>
      </c>
      <c r="F401" s="4" t="s">
        <v>39</v>
      </c>
      <c r="G401" s="5"/>
      <c r="H401" s="4" t="s">
        <v>39</v>
      </c>
    </row>
    <row r="402" spans="1:8" x14ac:dyDescent="0.55000000000000004">
      <c r="A402" s="4"/>
      <c r="B402" s="5" t="s">
        <v>1216</v>
      </c>
      <c r="C402" s="5" t="s">
        <v>1216</v>
      </c>
      <c r="D402" s="4" t="s">
        <v>21</v>
      </c>
      <c r="E402" s="5" t="s">
        <v>1217</v>
      </c>
      <c r="F402" s="4" t="s">
        <v>39</v>
      </c>
      <c r="G402" s="5"/>
      <c r="H402" s="4" t="s">
        <v>39</v>
      </c>
    </row>
    <row r="403" spans="1:8" x14ac:dyDescent="0.55000000000000004">
      <c r="A403" s="4"/>
      <c r="B403" s="5" t="s">
        <v>1218</v>
      </c>
      <c r="C403" s="5" t="s">
        <v>1218</v>
      </c>
      <c r="D403" s="4" t="s">
        <v>21</v>
      </c>
      <c r="E403" s="5" t="s">
        <v>1219</v>
      </c>
      <c r="F403" s="4" t="s">
        <v>39</v>
      </c>
      <c r="G403" s="5"/>
      <c r="H403" s="4" t="s">
        <v>39</v>
      </c>
    </row>
    <row r="404" spans="1:8" x14ac:dyDescent="0.55000000000000004">
      <c r="A404" s="4">
        <v>31</v>
      </c>
      <c r="B404" s="5" t="s">
        <v>1220</v>
      </c>
      <c r="C404" s="5" t="s">
        <v>1221</v>
      </c>
      <c r="D404" s="4" t="s">
        <v>132</v>
      </c>
      <c r="E404" s="5" t="s">
        <v>1222</v>
      </c>
      <c r="F404" s="4" t="s">
        <v>28</v>
      </c>
      <c r="G404" s="5"/>
      <c r="H404" s="4" t="s">
        <v>616</v>
      </c>
    </row>
    <row r="405" spans="1:8" x14ac:dyDescent="0.55000000000000004">
      <c r="A405" s="4"/>
      <c r="B405" s="5" t="s">
        <v>1223</v>
      </c>
      <c r="C405" s="5" t="s">
        <v>1224</v>
      </c>
      <c r="D405" s="4" t="s">
        <v>132</v>
      </c>
      <c r="E405" s="5" t="s">
        <v>1225</v>
      </c>
      <c r="F405" s="4" t="s">
        <v>39</v>
      </c>
      <c r="G405" s="5"/>
      <c r="H405" s="4" t="s">
        <v>39</v>
      </c>
    </row>
    <row r="406" spans="1:8" x14ac:dyDescent="0.55000000000000004">
      <c r="A406" s="4"/>
      <c r="B406" s="5" t="s">
        <v>1226</v>
      </c>
      <c r="C406" s="5" t="s">
        <v>1226</v>
      </c>
      <c r="D406" s="4" t="s">
        <v>21</v>
      </c>
      <c r="E406" s="5" t="s">
        <v>1227</v>
      </c>
      <c r="F406" s="4" t="s">
        <v>39</v>
      </c>
      <c r="G406" s="5"/>
      <c r="H406" s="4" t="s">
        <v>39</v>
      </c>
    </row>
    <row r="407" spans="1:8" x14ac:dyDescent="0.55000000000000004">
      <c r="A407" s="4"/>
      <c r="B407" s="5" t="s">
        <v>1228</v>
      </c>
      <c r="C407" s="5" t="s">
        <v>1229</v>
      </c>
      <c r="D407" s="4" t="s">
        <v>13</v>
      </c>
      <c r="E407" s="5" t="s">
        <v>1230</v>
      </c>
      <c r="F407" s="4" t="s">
        <v>39</v>
      </c>
      <c r="G407" s="5"/>
      <c r="H407" s="4" t="s">
        <v>39</v>
      </c>
    </row>
    <row r="408" spans="1:8" x14ac:dyDescent="0.55000000000000004">
      <c r="A408" s="4"/>
      <c r="B408" s="5" t="s">
        <v>1231</v>
      </c>
      <c r="C408" s="5" t="s">
        <v>1231</v>
      </c>
      <c r="D408" s="4" t="s">
        <v>21</v>
      </c>
      <c r="E408" s="5" t="s">
        <v>1232</v>
      </c>
      <c r="F408" s="4" t="s">
        <v>39</v>
      </c>
      <c r="G408" s="5"/>
      <c r="H408" s="4" t="s">
        <v>39</v>
      </c>
    </row>
    <row r="409" spans="1:8" x14ac:dyDescent="0.55000000000000004">
      <c r="A409" s="4"/>
      <c r="B409" s="5" t="s">
        <v>1233</v>
      </c>
      <c r="C409" s="5" t="s">
        <v>1233</v>
      </c>
      <c r="D409" s="4" t="s">
        <v>42</v>
      </c>
      <c r="E409" s="5" t="s">
        <v>1234</v>
      </c>
      <c r="F409" s="4" t="s">
        <v>39</v>
      </c>
      <c r="G409" s="5"/>
      <c r="H409" s="4" t="s">
        <v>39</v>
      </c>
    </row>
    <row r="410" spans="1:8" x14ac:dyDescent="0.55000000000000004">
      <c r="A410" s="4"/>
      <c r="B410" s="5" t="s">
        <v>1235</v>
      </c>
      <c r="C410" s="5" t="s">
        <v>1236</v>
      </c>
      <c r="D410" s="4" t="s">
        <v>21</v>
      </c>
      <c r="E410" s="5" t="s">
        <v>1237</v>
      </c>
      <c r="F410" s="4" t="s">
        <v>39</v>
      </c>
      <c r="G410" s="5" t="s">
        <v>1238</v>
      </c>
      <c r="H410" s="4" t="s">
        <v>39</v>
      </c>
    </row>
    <row r="411" spans="1:8" x14ac:dyDescent="0.55000000000000004">
      <c r="A411" s="4"/>
      <c r="B411" s="5" t="s">
        <v>1239</v>
      </c>
      <c r="C411" s="5" t="s">
        <v>1240</v>
      </c>
      <c r="D411" s="4" t="s">
        <v>21</v>
      </c>
      <c r="E411" s="5" t="s">
        <v>1241</v>
      </c>
      <c r="F411" s="4" t="s">
        <v>39</v>
      </c>
      <c r="G411" s="5"/>
      <c r="H411" s="4" t="s">
        <v>39</v>
      </c>
    </row>
    <row r="412" spans="1:8" x14ac:dyDescent="0.55000000000000004">
      <c r="A412" s="4"/>
      <c r="B412" s="5" t="s">
        <v>1242</v>
      </c>
      <c r="C412" s="5" t="s">
        <v>1242</v>
      </c>
      <c r="D412" s="4" t="s">
        <v>132</v>
      </c>
      <c r="E412" s="5" t="s">
        <v>1243</v>
      </c>
      <c r="F412" s="4" t="s">
        <v>39</v>
      </c>
      <c r="G412" s="5"/>
      <c r="H412" s="4" t="s">
        <v>39</v>
      </c>
    </row>
    <row r="413" spans="1:8" x14ac:dyDescent="0.55000000000000004">
      <c r="A413" s="4"/>
      <c r="B413" s="5" t="s">
        <v>1244</v>
      </c>
      <c r="C413" s="5" t="s">
        <v>1244</v>
      </c>
      <c r="D413" s="4" t="s">
        <v>21</v>
      </c>
      <c r="E413" s="5" t="s">
        <v>1245</v>
      </c>
      <c r="F413" s="4" t="s">
        <v>39</v>
      </c>
      <c r="G413" s="5"/>
      <c r="H413" s="4" t="s">
        <v>39</v>
      </c>
    </row>
    <row r="414" spans="1:8" x14ac:dyDescent="0.55000000000000004">
      <c r="A414" s="4"/>
      <c r="B414" s="5" t="s">
        <v>1246</v>
      </c>
      <c r="C414" s="5" t="s">
        <v>1246</v>
      </c>
      <c r="D414" s="4" t="s">
        <v>21</v>
      </c>
      <c r="E414" s="5" t="s">
        <v>1247</v>
      </c>
      <c r="F414" s="4" t="s">
        <v>39</v>
      </c>
      <c r="G414" s="5"/>
      <c r="H414" s="4" t="s">
        <v>39</v>
      </c>
    </row>
    <row r="415" spans="1:8" x14ac:dyDescent="0.55000000000000004">
      <c r="A415" s="4"/>
      <c r="B415" s="5" t="s">
        <v>1248</v>
      </c>
      <c r="C415" s="5" t="s">
        <v>1248</v>
      </c>
      <c r="D415" s="4" t="s">
        <v>21</v>
      </c>
      <c r="E415" s="5" t="s">
        <v>1249</v>
      </c>
      <c r="F415" s="4" t="s">
        <v>39</v>
      </c>
      <c r="G415" s="5"/>
      <c r="H415" s="4" t="s">
        <v>39</v>
      </c>
    </row>
    <row r="416" spans="1:8" x14ac:dyDescent="0.55000000000000004">
      <c r="A416" s="4"/>
      <c r="B416" s="5" t="s">
        <v>1250</v>
      </c>
      <c r="C416" s="5" t="s">
        <v>1250</v>
      </c>
      <c r="D416" s="4" t="s">
        <v>13</v>
      </c>
      <c r="E416" s="5" t="s">
        <v>1251</v>
      </c>
      <c r="F416" s="3" t="s">
        <v>417</v>
      </c>
      <c r="G416" s="5"/>
      <c r="H416" s="4" t="s">
        <v>1252</v>
      </c>
    </row>
    <row r="417" spans="1:9" x14ac:dyDescent="0.55000000000000004">
      <c r="A417" s="4"/>
      <c r="B417" s="5" t="s">
        <v>1253</v>
      </c>
      <c r="C417" s="5" t="s">
        <v>1253</v>
      </c>
      <c r="D417" s="4" t="s">
        <v>46</v>
      </c>
      <c r="E417" s="5" t="s">
        <v>1254</v>
      </c>
      <c r="F417" s="4" t="s">
        <v>39</v>
      </c>
      <c r="G417" s="5"/>
      <c r="H417" s="4" t="s">
        <v>39</v>
      </c>
    </row>
    <row r="418" spans="1:9" x14ac:dyDescent="0.55000000000000004">
      <c r="A418" s="4"/>
      <c r="B418" s="5" t="s">
        <v>1255</v>
      </c>
      <c r="C418" s="5" t="s">
        <v>1255</v>
      </c>
      <c r="D418" s="4" t="s">
        <v>21</v>
      </c>
      <c r="E418" s="5" t="s">
        <v>1256</v>
      </c>
      <c r="F418" s="4" t="s">
        <v>39</v>
      </c>
      <c r="G418" s="5"/>
      <c r="H418" s="4" t="s">
        <v>39</v>
      </c>
    </row>
    <row r="419" spans="1:9" x14ac:dyDescent="0.55000000000000004">
      <c r="A419" s="4"/>
      <c r="B419" s="5" t="s">
        <v>1257</v>
      </c>
      <c r="C419" s="5" t="s">
        <v>1258</v>
      </c>
      <c r="D419" s="4" t="s">
        <v>13</v>
      </c>
      <c r="E419" s="5" t="s">
        <v>1259</v>
      </c>
      <c r="F419" s="4" t="s">
        <v>39</v>
      </c>
      <c r="G419" s="5"/>
      <c r="H419" s="4" t="s">
        <v>39</v>
      </c>
    </row>
    <row r="420" spans="1:9" x14ac:dyDescent="0.55000000000000004">
      <c r="A420" s="4"/>
      <c r="B420" s="5" t="s">
        <v>1260</v>
      </c>
      <c r="C420" s="5" t="s">
        <v>1260</v>
      </c>
      <c r="D420" s="4" t="s">
        <v>21</v>
      </c>
      <c r="E420" s="5" t="s">
        <v>1261</v>
      </c>
      <c r="F420" s="3" t="s">
        <v>417</v>
      </c>
      <c r="G420" s="5"/>
      <c r="H420" s="4" t="s">
        <v>1252</v>
      </c>
    </row>
    <row r="421" spans="1:9" x14ac:dyDescent="0.55000000000000004">
      <c r="A421" s="4"/>
      <c r="B421" s="5" t="s">
        <v>1262</v>
      </c>
      <c r="C421" s="5" t="s">
        <v>1262</v>
      </c>
      <c r="D421" s="4" t="s">
        <v>13</v>
      </c>
      <c r="E421" s="5" t="s">
        <v>1263</v>
      </c>
      <c r="F421" s="3" t="s">
        <v>417</v>
      </c>
      <c r="G421" s="5"/>
      <c r="H421" s="4" t="s">
        <v>1252</v>
      </c>
    </row>
    <row r="422" spans="1:9" x14ac:dyDescent="0.55000000000000004">
      <c r="A422" s="4"/>
      <c r="B422" s="5" t="s">
        <v>1264</v>
      </c>
      <c r="C422" s="5" t="s">
        <v>1264</v>
      </c>
      <c r="D422" s="4" t="s">
        <v>21</v>
      </c>
      <c r="E422" s="5" t="s">
        <v>1265</v>
      </c>
      <c r="F422" s="4" t="s">
        <v>39</v>
      </c>
      <c r="G422" s="5"/>
      <c r="H422" s="4" t="s">
        <v>39</v>
      </c>
    </row>
    <row r="423" spans="1:9" x14ac:dyDescent="0.55000000000000004">
      <c r="A423" s="4"/>
      <c r="B423" s="5" t="s">
        <v>1266</v>
      </c>
      <c r="C423" s="5" t="s">
        <v>1266</v>
      </c>
      <c r="D423" s="4" t="s">
        <v>21</v>
      </c>
      <c r="E423" s="5" t="s">
        <v>1267</v>
      </c>
      <c r="F423" s="4" t="s">
        <v>39</v>
      </c>
      <c r="G423" s="5"/>
      <c r="H423" s="4" t="s">
        <v>39</v>
      </c>
    </row>
    <row r="424" spans="1:9" x14ac:dyDescent="0.55000000000000004">
      <c r="A424" s="4"/>
      <c r="B424" s="5" t="s">
        <v>1268</v>
      </c>
      <c r="C424" s="5" t="s">
        <v>1268</v>
      </c>
      <c r="D424" s="4" t="s">
        <v>13</v>
      </c>
      <c r="E424" s="5" t="s">
        <v>1269</v>
      </c>
      <c r="F424" s="4" t="s">
        <v>39</v>
      </c>
      <c r="G424" s="5"/>
      <c r="H424" s="4" t="s">
        <v>39</v>
      </c>
    </row>
    <row r="425" spans="1:9" x14ac:dyDescent="0.55000000000000004">
      <c r="A425" s="4"/>
      <c r="B425" s="5" t="s">
        <v>1270</v>
      </c>
      <c r="C425" s="5" t="s">
        <v>1270</v>
      </c>
      <c r="D425" s="4" t="s">
        <v>21</v>
      </c>
      <c r="E425" s="5" t="s">
        <v>1271</v>
      </c>
      <c r="F425" s="4" t="s">
        <v>191</v>
      </c>
      <c r="G425" s="5"/>
      <c r="H425" s="4" t="s">
        <v>1272</v>
      </c>
      <c r="I425" s="2" t="s">
        <v>1273</v>
      </c>
    </row>
    <row r="426" spans="1:9" x14ac:dyDescent="0.55000000000000004">
      <c r="A426" s="4"/>
      <c r="B426" s="5" t="s">
        <v>1274</v>
      </c>
      <c r="C426" s="5" t="s">
        <v>1274</v>
      </c>
      <c r="D426" s="4" t="s">
        <v>13</v>
      </c>
      <c r="E426" s="5" t="s">
        <v>1275</v>
      </c>
      <c r="F426" s="4" t="s">
        <v>39</v>
      </c>
      <c r="G426" s="5"/>
      <c r="H426" s="4" t="s">
        <v>39</v>
      </c>
    </row>
    <row r="427" spans="1:9" x14ac:dyDescent="0.55000000000000004">
      <c r="A427" s="4"/>
      <c r="B427" s="5" t="s">
        <v>1276</v>
      </c>
      <c r="C427" s="5" t="s">
        <v>1276</v>
      </c>
      <c r="D427" s="4" t="s">
        <v>21</v>
      </c>
      <c r="E427" s="5" t="s">
        <v>1277</v>
      </c>
      <c r="F427" s="4" t="s">
        <v>39</v>
      </c>
      <c r="G427" s="5"/>
      <c r="H427" s="4" t="s">
        <v>39</v>
      </c>
    </row>
    <row r="428" spans="1:9" x14ac:dyDescent="0.55000000000000004">
      <c r="A428" s="4">
        <v>62</v>
      </c>
      <c r="B428" s="5" t="s">
        <v>1278</v>
      </c>
      <c r="C428" s="5" t="s">
        <v>1278</v>
      </c>
      <c r="D428" s="4" t="s">
        <v>49</v>
      </c>
      <c r="E428" s="5" t="s">
        <v>1279</v>
      </c>
      <c r="F428" s="4" t="s">
        <v>28</v>
      </c>
      <c r="G428" s="5"/>
      <c r="H428" s="4" t="s">
        <v>1280</v>
      </c>
      <c r="I428" s="2" t="s">
        <v>1281</v>
      </c>
    </row>
    <row r="429" spans="1:9" x14ac:dyDescent="0.55000000000000004">
      <c r="A429" s="4"/>
      <c r="B429" s="5" t="s">
        <v>1282</v>
      </c>
      <c r="C429" s="5" t="s">
        <v>1282</v>
      </c>
      <c r="D429" s="4" t="s">
        <v>13</v>
      </c>
      <c r="E429" s="5" t="s">
        <v>1283</v>
      </c>
      <c r="F429" s="4" t="s">
        <v>39</v>
      </c>
      <c r="G429" s="5"/>
      <c r="H429" s="4" t="s">
        <v>39</v>
      </c>
    </row>
    <row r="430" spans="1:9" x14ac:dyDescent="0.55000000000000004">
      <c r="A430" s="4"/>
      <c r="B430" s="5" t="s">
        <v>1284</v>
      </c>
      <c r="C430" s="5" t="s">
        <v>1284</v>
      </c>
      <c r="D430" s="4" t="s">
        <v>46</v>
      </c>
      <c r="E430" s="5" t="s">
        <v>1285</v>
      </c>
      <c r="F430" s="4" t="s">
        <v>39</v>
      </c>
      <c r="G430" s="5"/>
      <c r="H430" s="4" t="s">
        <v>39</v>
      </c>
    </row>
    <row r="431" spans="1:9" x14ac:dyDescent="0.55000000000000004">
      <c r="A431" s="4"/>
      <c r="B431" s="5" t="s">
        <v>1286</v>
      </c>
      <c r="C431" s="5" t="s">
        <v>1286</v>
      </c>
      <c r="D431" s="4" t="s">
        <v>21</v>
      </c>
      <c r="E431" s="5" t="s">
        <v>1287</v>
      </c>
      <c r="F431" s="4" t="s">
        <v>39</v>
      </c>
      <c r="G431" s="5"/>
      <c r="H431" s="4" t="s">
        <v>39</v>
      </c>
    </row>
    <row r="432" spans="1:9" x14ac:dyDescent="0.55000000000000004">
      <c r="A432" s="4"/>
      <c r="B432" s="5" t="s">
        <v>1288</v>
      </c>
      <c r="C432" s="5" t="s">
        <v>1289</v>
      </c>
      <c r="D432" s="4" t="s">
        <v>46</v>
      </c>
      <c r="E432" s="5" t="s">
        <v>1290</v>
      </c>
      <c r="F432" s="4" t="s">
        <v>39</v>
      </c>
      <c r="G432" s="5"/>
      <c r="H432" s="4" t="s">
        <v>39</v>
      </c>
    </row>
    <row r="433" spans="1:8" x14ac:dyDescent="0.55000000000000004">
      <c r="A433" s="4"/>
      <c r="B433" s="5" t="s">
        <v>1291</v>
      </c>
      <c r="C433" s="5" t="s">
        <v>1292</v>
      </c>
      <c r="D433" s="4" t="s">
        <v>21</v>
      </c>
      <c r="E433" s="5" t="s">
        <v>1293</v>
      </c>
      <c r="F433" s="4" t="s">
        <v>39</v>
      </c>
      <c r="G433" s="5"/>
      <c r="H433" s="4" t="s">
        <v>39</v>
      </c>
    </row>
    <row r="434" spans="1:8" x14ac:dyDescent="0.55000000000000004">
      <c r="A434" s="4"/>
      <c r="B434" s="5" t="s">
        <v>1294</v>
      </c>
      <c r="C434" s="5" t="s">
        <v>1288</v>
      </c>
      <c r="D434" s="4" t="s">
        <v>46</v>
      </c>
      <c r="E434" s="5" t="s">
        <v>1295</v>
      </c>
      <c r="F434" s="4" t="s">
        <v>39</v>
      </c>
      <c r="G434" s="5"/>
      <c r="H434" s="4" t="s">
        <v>39</v>
      </c>
    </row>
    <row r="435" spans="1:8" x14ac:dyDescent="0.55000000000000004">
      <c r="A435" s="4"/>
      <c r="B435" s="5" t="s">
        <v>1296</v>
      </c>
      <c r="C435" s="5" t="s">
        <v>1297</v>
      </c>
      <c r="D435" s="4" t="s">
        <v>13</v>
      </c>
      <c r="E435" s="5" t="s">
        <v>1298</v>
      </c>
      <c r="F435" s="4" t="s">
        <v>39</v>
      </c>
      <c r="G435" s="5"/>
      <c r="H435" s="4" t="s">
        <v>39</v>
      </c>
    </row>
    <row r="436" spans="1:8" x14ac:dyDescent="0.55000000000000004">
      <c r="A436" s="4"/>
      <c r="B436" s="5" t="s">
        <v>1299</v>
      </c>
      <c r="C436" s="5" t="s">
        <v>1300</v>
      </c>
      <c r="D436" s="4" t="s">
        <v>21</v>
      </c>
      <c r="E436" s="5" t="s">
        <v>1301</v>
      </c>
      <c r="F436" s="4" t="s">
        <v>39</v>
      </c>
      <c r="G436" s="5"/>
      <c r="H436" s="4" t="s">
        <v>39</v>
      </c>
    </row>
    <row r="437" spans="1:8" x14ac:dyDescent="0.55000000000000004">
      <c r="A437" s="4"/>
      <c r="B437" s="5" t="s">
        <v>1302</v>
      </c>
      <c r="C437" s="5" t="s">
        <v>1302</v>
      </c>
      <c r="D437" s="4" t="s">
        <v>21</v>
      </c>
      <c r="E437" s="5" t="s">
        <v>1303</v>
      </c>
      <c r="F437" s="4" t="s">
        <v>39</v>
      </c>
      <c r="G437" s="5"/>
      <c r="H437" s="4" t="s">
        <v>39</v>
      </c>
    </row>
    <row r="438" spans="1:8" x14ac:dyDescent="0.55000000000000004">
      <c r="A438" s="4"/>
      <c r="B438" s="5" t="s">
        <v>1304</v>
      </c>
      <c r="C438" s="5" t="s">
        <v>1305</v>
      </c>
      <c r="D438" s="4" t="s">
        <v>21</v>
      </c>
      <c r="E438" s="5" t="s">
        <v>1306</v>
      </c>
      <c r="F438" s="4" t="s">
        <v>39</v>
      </c>
      <c r="G438" s="5"/>
      <c r="H438" s="4" t="s">
        <v>39</v>
      </c>
    </row>
    <row r="439" spans="1:8" x14ac:dyDescent="0.55000000000000004">
      <c r="A439" s="4"/>
      <c r="B439" s="5" t="s">
        <v>1307</v>
      </c>
      <c r="C439" s="5" t="s">
        <v>1307</v>
      </c>
      <c r="D439" s="4" t="s">
        <v>13</v>
      </c>
      <c r="E439" s="5" t="s">
        <v>1308</v>
      </c>
      <c r="F439" s="4" t="s">
        <v>39</v>
      </c>
      <c r="G439" s="5"/>
      <c r="H439" s="4" t="s">
        <v>39</v>
      </c>
    </row>
    <row r="440" spans="1:8" x14ac:dyDescent="0.55000000000000004">
      <c r="A440" s="4"/>
      <c r="B440" s="5" t="s">
        <v>1309</v>
      </c>
      <c r="C440" s="5" t="s">
        <v>1309</v>
      </c>
      <c r="D440" s="4" t="s">
        <v>13</v>
      </c>
      <c r="E440" s="5" t="s">
        <v>1310</v>
      </c>
      <c r="F440" s="4" t="s">
        <v>39</v>
      </c>
      <c r="G440" s="5"/>
      <c r="H440" s="4" t="s">
        <v>39</v>
      </c>
    </row>
    <row r="441" spans="1:8" x14ac:dyDescent="0.55000000000000004">
      <c r="A441" s="4">
        <v>43</v>
      </c>
      <c r="B441" s="5" t="s">
        <v>1311</v>
      </c>
      <c r="C441" s="5" t="s">
        <v>1311</v>
      </c>
      <c r="D441" s="4" t="s">
        <v>46</v>
      </c>
      <c r="E441" s="5" t="s">
        <v>1312</v>
      </c>
      <c r="F441" s="4" t="s">
        <v>28</v>
      </c>
      <c r="G441" s="5"/>
      <c r="H441" s="4" t="s">
        <v>1313</v>
      </c>
    </row>
    <row r="442" spans="1:8" x14ac:dyDescent="0.55000000000000004">
      <c r="A442" s="4"/>
      <c r="B442" s="5" t="s">
        <v>1314</v>
      </c>
      <c r="C442" s="5" t="s">
        <v>1314</v>
      </c>
      <c r="D442" s="4" t="s">
        <v>21</v>
      </c>
      <c r="E442" s="5" t="s">
        <v>1315</v>
      </c>
      <c r="F442" s="4" t="s">
        <v>102</v>
      </c>
      <c r="G442" s="5" t="s">
        <v>819</v>
      </c>
      <c r="H442" s="4" t="s">
        <v>39</v>
      </c>
    </row>
    <row r="443" spans="1:8" x14ac:dyDescent="0.55000000000000004">
      <c r="A443" s="4"/>
      <c r="B443" s="5" t="s">
        <v>1316</v>
      </c>
      <c r="C443" s="5" t="s">
        <v>1316</v>
      </c>
      <c r="D443" s="4" t="s">
        <v>13</v>
      </c>
      <c r="E443" s="5" t="s">
        <v>1317</v>
      </c>
      <c r="F443" s="4" t="s">
        <v>39</v>
      </c>
      <c r="G443" s="5"/>
      <c r="H443" s="4" t="s">
        <v>39</v>
      </c>
    </row>
    <row r="444" spans="1:8" x14ac:dyDescent="0.55000000000000004">
      <c r="A444" s="4"/>
      <c r="B444" s="5" t="s">
        <v>1318</v>
      </c>
      <c r="C444" s="5" t="s">
        <v>1318</v>
      </c>
      <c r="D444" s="4" t="s">
        <v>21</v>
      </c>
      <c r="E444" s="5" t="s">
        <v>1319</v>
      </c>
      <c r="F444" s="4" t="s">
        <v>1320</v>
      </c>
      <c r="G444" s="5"/>
      <c r="H444" s="4" t="s">
        <v>24</v>
      </c>
    </row>
    <row r="445" spans="1:8" x14ac:dyDescent="0.55000000000000004">
      <c r="A445" s="4"/>
      <c r="B445" s="5" t="s">
        <v>1321</v>
      </c>
      <c r="C445" s="5" t="s">
        <v>1321</v>
      </c>
      <c r="D445" s="4" t="s">
        <v>49</v>
      </c>
      <c r="E445" s="5" t="s">
        <v>1322</v>
      </c>
      <c r="F445" s="4" t="s">
        <v>39</v>
      </c>
      <c r="G445" s="5"/>
      <c r="H445" s="4" t="s">
        <v>39</v>
      </c>
    </row>
    <row r="446" spans="1:8" x14ac:dyDescent="0.55000000000000004">
      <c r="A446" s="4"/>
      <c r="B446" s="5" t="s">
        <v>1323</v>
      </c>
      <c r="C446" s="5" t="s">
        <v>1323</v>
      </c>
      <c r="D446" s="4" t="s">
        <v>13</v>
      </c>
      <c r="E446" s="5" t="s">
        <v>1324</v>
      </c>
      <c r="F446" s="4" t="s">
        <v>39</v>
      </c>
      <c r="G446" s="5"/>
      <c r="H446" s="4" t="s">
        <v>39</v>
      </c>
    </row>
    <row r="447" spans="1:8" x14ac:dyDescent="0.55000000000000004">
      <c r="A447" s="4"/>
      <c r="B447" s="5" t="s">
        <v>1325</v>
      </c>
      <c r="C447" s="5" t="s">
        <v>1325</v>
      </c>
      <c r="D447" s="4" t="s">
        <v>13</v>
      </c>
      <c r="E447" s="5" t="s">
        <v>1326</v>
      </c>
      <c r="F447" s="4" t="s">
        <v>39</v>
      </c>
      <c r="G447" s="5"/>
      <c r="H447" s="4" t="s">
        <v>39</v>
      </c>
    </row>
    <row r="448" spans="1:8" x14ac:dyDescent="0.55000000000000004">
      <c r="A448" s="4"/>
      <c r="B448" s="5" t="s">
        <v>1327</v>
      </c>
      <c r="C448" s="5" t="s">
        <v>1327</v>
      </c>
      <c r="D448" s="4" t="s">
        <v>21</v>
      </c>
      <c r="E448" s="5" t="s">
        <v>1328</v>
      </c>
      <c r="F448" s="4" t="s">
        <v>870</v>
      </c>
      <c r="G448" s="5" t="s">
        <v>1329</v>
      </c>
      <c r="H448" s="4" t="s">
        <v>1330</v>
      </c>
    </row>
    <row r="449" spans="1:8" x14ac:dyDescent="0.55000000000000004">
      <c r="A449" s="4"/>
      <c r="B449" s="5" t="s">
        <v>1331</v>
      </c>
      <c r="C449" s="5" t="s">
        <v>1331</v>
      </c>
      <c r="D449" s="4" t="s">
        <v>21</v>
      </c>
      <c r="E449" s="5" t="s">
        <v>1332</v>
      </c>
      <c r="F449" s="4" t="s">
        <v>39</v>
      </c>
      <c r="G449" s="5"/>
      <c r="H449" s="4" t="s">
        <v>39</v>
      </c>
    </row>
    <row r="450" spans="1:8" x14ac:dyDescent="0.55000000000000004">
      <c r="A450" s="4"/>
      <c r="B450" s="5" t="s">
        <v>1333</v>
      </c>
      <c r="C450" s="5" t="s">
        <v>1334</v>
      </c>
      <c r="D450" s="4" t="s">
        <v>21</v>
      </c>
      <c r="E450" s="5" t="s">
        <v>1335</v>
      </c>
      <c r="F450" s="4" t="s">
        <v>39</v>
      </c>
      <c r="G450" s="5"/>
      <c r="H450" s="4" t="s">
        <v>39</v>
      </c>
    </row>
    <row r="451" spans="1:8" x14ac:dyDescent="0.55000000000000004">
      <c r="A451" s="4"/>
      <c r="B451" s="5" t="s">
        <v>1336</v>
      </c>
      <c r="C451" s="5" t="s">
        <v>1333</v>
      </c>
      <c r="D451" s="4" t="s">
        <v>21</v>
      </c>
      <c r="E451" s="5" t="s">
        <v>1337</v>
      </c>
      <c r="F451" s="4" t="s">
        <v>39</v>
      </c>
      <c r="G451" s="5"/>
      <c r="H451" s="4" t="s">
        <v>39</v>
      </c>
    </row>
    <row r="452" spans="1:8" x14ac:dyDescent="0.55000000000000004">
      <c r="A452" s="4"/>
      <c r="B452" s="5" t="s">
        <v>1338</v>
      </c>
      <c r="C452" s="5" t="s">
        <v>1338</v>
      </c>
      <c r="D452" s="4" t="s">
        <v>13</v>
      </c>
      <c r="E452" s="5" t="s">
        <v>1339</v>
      </c>
      <c r="F452" s="4" t="s">
        <v>39</v>
      </c>
      <c r="G452" s="5"/>
      <c r="H452" s="4" t="s">
        <v>39</v>
      </c>
    </row>
    <row r="453" spans="1:8" x14ac:dyDescent="0.55000000000000004">
      <c r="A453" s="4"/>
      <c r="B453" s="5" t="s">
        <v>1340</v>
      </c>
      <c r="C453" s="5" t="s">
        <v>1340</v>
      </c>
      <c r="D453" s="4" t="s">
        <v>13</v>
      </c>
      <c r="E453" s="5" t="s">
        <v>1341</v>
      </c>
      <c r="F453" s="4" t="s">
        <v>1342</v>
      </c>
      <c r="G453" s="5"/>
      <c r="H453" s="4"/>
    </row>
    <row r="454" spans="1:8" x14ac:dyDescent="0.55000000000000004">
      <c r="A454" s="4"/>
      <c r="B454" s="5" t="s">
        <v>1343</v>
      </c>
      <c r="C454" s="5" t="s">
        <v>1343</v>
      </c>
      <c r="D454" s="4" t="s">
        <v>21</v>
      </c>
      <c r="E454" s="5" t="s">
        <v>1344</v>
      </c>
      <c r="F454" s="4" t="s">
        <v>39</v>
      </c>
      <c r="G454" s="5"/>
      <c r="H454" s="4" t="s">
        <v>39</v>
      </c>
    </row>
    <row r="455" spans="1:8" x14ac:dyDescent="0.55000000000000004">
      <c r="A455" s="4"/>
      <c r="B455" s="5" t="s">
        <v>1345</v>
      </c>
      <c r="C455" s="5" t="s">
        <v>1346</v>
      </c>
      <c r="D455" s="4" t="s">
        <v>21</v>
      </c>
      <c r="E455" s="5" t="s">
        <v>1347</v>
      </c>
      <c r="F455" s="4" t="s">
        <v>39</v>
      </c>
      <c r="G455" s="5" t="s">
        <v>1348</v>
      </c>
      <c r="H455" s="4" t="s">
        <v>39</v>
      </c>
    </row>
    <row r="456" spans="1:8" x14ac:dyDescent="0.55000000000000004">
      <c r="A456" s="4"/>
      <c r="B456" s="5" t="s">
        <v>1349</v>
      </c>
      <c r="C456" s="5" t="s">
        <v>1350</v>
      </c>
      <c r="D456" s="4" t="s">
        <v>21</v>
      </c>
      <c r="E456" s="5" t="s">
        <v>1351</v>
      </c>
      <c r="F456" s="4" t="s">
        <v>39</v>
      </c>
      <c r="G456" s="5"/>
      <c r="H456" s="4" t="s">
        <v>39</v>
      </c>
    </row>
    <row r="457" spans="1:8" x14ac:dyDescent="0.55000000000000004">
      <c r="A457" s="4"/>
      <c r="B457" s="5" t="s">
        <v>1352</v>
      </c>
      <c r="C457" s="5" t="s">
        <v>1352</v>
      </c>
      <c r="D457" s="4" t="s">
        <v>13</v>
      </c>
      <c r="E457" s="5" t="s">
        <v>1353</v>
      </c>
      <c r="F457" s="4" t="s">
        <v>39</v>
      </c>
      <c r="G457" s="5"/>
      <c r="H457" s="4" t="s">
        <v>39</v>
      </c>
    </row>
    <row r="458" spans="1:8" x14ac:dyDescent="0.55000000000000004">
      <c r="A458" s="4"/>
      <c r="B458" s="5" t="s">
        <v>1354</v>
      </c>
      <c r="C458" s="5" t="s">
        <v>1354</v>
      </c>
      <c r="D458" s="4" t="s">
        <v>21</v>
      </c>
      <c r="E458" s="5" t="s">
        <v>1355</v>
      </c>
      <c r="F458" s="4" t="s">
        <v>1356</v>
      </c>
      <c r="G458" s="5"/>
      <c r="H458" s="4" t="s">
        <v>151</v>
      </c>
    </row>
    <row r="459" spans="1:8" x14ac:dyDescent="0.55000000000000004">
      <c r="A459" s="4"/>
      <c r="B459" s="5" t="s">
        <v>1357</v>
      </c>
      <c r="C459" s="5" t="s">
        <v>1357</v>
      </c>
      <c r="D459" s="4" t="s">
        <v>1358</v>
      </c>
      <c r="E459" s="5" t="s">
        <v>1359</v>
      </c>
      <c r="F459" s="4" t="s">
        <v>39</v>
      </c>
      <c r="G459" s="5"/>
      <c r="H459" s="4" t="s">
        <v>39</v>
      </c>
    </row>
    <row r="460" spans="1:8" x14ac:dyDescent="0.55000000000000004">
      <c r="A460" s="4"/>
      <c r="B460" s="5" t="s">
        <v>1360</v>
      </c>
      <c r="C460" s="5" t="s">
        <v>1360</v>
      </c>
      <c r="D460" s="4" t="s">
        <v>132</v>
      </c>
      <c r="E460" s="5" t="s">
        <v>1361</v>
      </c>
      <c r="F460" s="4" t="s">
        <v>39</v>
      </c>
      <c r="G460" s="5"/>
      <c r="H460" s="4" t="s">
        <v>39</v>
      </c>
    </row>
    <row r="461" spans="1:8" x14ac:dyDescent="0.55000000000000004">
      <c r="A461" s="4"/>
      <c r="B461" s="5" t="s">
        <v>1362</v>
      </c>
      <c r="C461" s="5" t="s">
        <v>1363</v>
      </c>
      <c r="D461" s="4" t="s">
        <v>13</v>
      </c>
      <c r="E461" s="5" t="s">
        <v>1364</v>
      </c>
      <c r="F461" s="4" t="s">
        <v>39</v>
      </c>
      <c r="G461" s="5"/>
      <c r="H461" s="4" t="s">
        <v>39</v>
      </c>
    </row>
    <row r="462" spans="1:8" x14ac:dyDescent="0.55000000000000004">
      <c r="A462" s="4"/>
      <c r="B462" s="5" t="s">
        <v>1365</v>
      </c>
      <c r="C462" s="5" t="s">
        <v>1366</v>
      </c>
      <c r="D462" s="4" t="s">
        <v>21</v>
      </c>
      <c r="E462" s="5" t="s">
        <v>1367</v>
      </c>
      <c r="F462" s="4" t="s">
        <v>39</v>
      </c>
      <c r="G462" s="5"/>
      <c r="H462" s="4" t="s">
        <v>39</v>
      </c>
    </row>
    <row r="463" spans="1:8" x14ac:dyDescent="0.55000000000000004">
      <c r="A463" s="4"/>
      <c r="B463" s="5" t="s">
        <v>1368</v>
      </c>
      <c r="C463" s="5" t="s">
        <v>1369</v>
      </c>
      <c r="D463" s="4" t="s">
        <v>21</v>
      </c>
      <c r="E463" s="5" t="s">
        <v>1370</v>
      </c>
      <c r="F463" s="4" t="s">
        <v>39</v>
      </c>
      <c r="G463" s="5"/>
      <c r="H463" s="4" t="s">
        <v>39</v>
      </c>
    </row>
    <row r="464" spans="1:8" x14ac:dyDescent="0.55000000000000004">
      <c r="A464" s="4"/>
      <c r="B464" s="5" t="s">
        <v>1371</v>
      </c>
      <c r="C464" s="5" t="s">
        <v>1372</v>
      </c>
      <c r="D464" s="4" t="s">
        <v>21</v>
      </c>
      <c r="E464" s="5" t="s">
        <v>1373</v>
      </c>
      <c r="F464" s="4" t="s">
        <v>39</v>
      </c>
      <c r="G464" s="5"/>
      <c r="H464" s="4" t="s">
        <v>39</v>
      </c>
    </row>
    <row r="465" spans="1:8" x14ac:dyDescent="0.55000000000000004">
      <c r="A465" s="4"/>
      <c r="B465" s="5" t="s">
        <v>1374</v>
      </c>
      <c r="C465" s="5" t="s">
        <v>1375</v>
      </c>
      <c r="D465" s="4" t="s">
        <v>42</v>
      </c>
      <c r="E465" s="5" t="s">
        <v>1376</v>
      </c>
      <c r="F465" s="4" t="s">
        <v>39</v>
      </c>
      <c r="G465" s="5"/>
      <c r="H465" s="4" t="s">
        <v>39</v>
      </c>
    </row>
    <row r="466" spans="1:8" x14ac:dyDescent="0.55000000000000004">
      <c r="A466" s="4"/>
      <c r="B466" s="5" t="s">
        <v>1377</v>
      </c>
      <c r="C466" s="5" t="s">
        <v>1378</v>
      </c>
      <c r="D466" s="4" t="s">
        <v>132</v>
      </c>
      <c r="E466" s="5" t="s">
        <v>1379</v>
      </c>
      <c r="F466" s="4" t="s">
        <v>39</v>
      </c>
      <c r="G466" s="5"/>
      <c r="H466" s="4" t="s">
        <v>39</v>
      </c>
    </row>
    <row r="467" spans="1:8" x14ac:dyDescent="0.55000000000000004">
      <c r="A467" s="4">
        <v>14</v>
      </c>
      <c r="B467" s="5" t="s">
        <v>1380</v>
      </c>
      <c r="C467" s="5" t="s">
        <v>1380</v>
      </c>
      <c r="D467" s="4" t="s">
        <v>13</v>
      </c>
      <c r="E467" s="5" t="s">
        <v>1381</v>
      </c>
      <c r="F467" s="4" t="s">
        <v>28</v>
      </c>
      <c r="G467" s="5"/>
      <c r="H467" s="4" t="s">
        <v>616</v>
      </c>
    </row>
    <row r="468" spans="1:8" x14ac:dyDescent="0.55000000000000004">
      <c r="A468" s="4"/>
      <c r="B468" s="5" t="s">
        <v>1382</v>
      </c>
      <c r="C468" s="5" t="s">
        <v>1383</v>
      </c>
      <c r="D468" s="4" t="s">
        <v>13</v>
      </c>
      <c r="E468" s="5" t="s">
        <v>1384</v>
      </c>
      <c r="F468" s="4" t="s">
        <v>39</v>
      </c>
      <c r="G468" s="5"/>
      <c r="H468" s="4" t="s">
        <v>39</v>
      </c>
    </row>
    <row r="469" spans="1:8" x14ac:dyDescent="0.55000000000000004">
      <c r="A469" s="4"/>
      <c r="B469" s="5" t="s">
        <v>1385</v>
      </c>
      <c r="C469" s="5" t="s">
        <v>1385</v>
      </c>
      <c r="D469" s="4" t="s">
        <v>46</v>
      </c>
      <c r="E469" s="5" t="s">
        <v>1386</v>
      </c>
      <c r="F469" s="4" t="s">
        <v>39</v>
      </c>
      <c r="G469" s="5"/>
      <c r="H469" s="4" t="s">
        <v>39</v>
      </c>
    </row>
    <row r="470" spans="1:8" x14ac:dyDescent="0.55000000000000004">
      <c r="A470" s="4"/>
      <c r="B470" s="5" t="s">
        <v>1387</v>
      </c>
      <c r="C470" s="5" t="s">
        <v>1387</v>
      </c>
      <c r="D470" s="4" t="s">
        <v>21</v>
      </c>
      <c r="E470" s="5" t="s">
        <v>1388</v>
      </c>
      <c r="F470" s="4" t="s">
        <v>39</v>
      </c>
      <c r="G470" s="5"/>
      <c r="H470" s="4" t="s">
        <v>39</v>
      </c>
    </row>
    <row r="471" spans="1:8" x14ac:dyDescent="0.55000000000000004">
      <c r="A471" s="4"/>
      <c r="B471" s="5" t="s">
        <v>1389</v>
      </c>
      <c r="C471" s="5" t="s">
        <v>1389</v>
      </c>
      <c r="D471" s="4" t="s">
        <v>21</v>
      </c>
      <c r="E471" s="5" t="s">
        <v>1390</v>
      </c>
      <c r="F471" s="4" t="s">
        <v>39</v>
      </c>
      <c r="G471" s="5"/>
      <c r="H471" s="4" t="s">
        <v>39</v>
      </c>
    </row>
    <row r="472" spans="1:8" x14ac:dyDescent="0.55000000000000004">
      <c r="A472" s="4"/>
      <c r="B472" s="5" t="s">
        <v>1391</v>
      </c>
      <c r="C472" s="5" t="s">
        <v>1391</v>
      </c>
      <c r="D472" s="4" t="s">
        <v>21</v>
      </c>
      <c r="E472" s="5" t="s">
        <v>1392</v>
      </c>
      <c r="F472" s="4" t="s">
        <v>39</v>
      </c>
      <c r="G472" s="5"/>
      <c r="H472" s="4" t="s">
        <v>39</v>
      </c>
    </row>
    <row r="473" spans="1:8" x14ac:dyDescent="0.55000000000000004">
      <c r="A473" s="4"/>
      <c r="B473" s="5" t="s">
        <v>1393</v>
      </c>
      <c r="C473" s="5" t="s">
        <v>1393</v>
      </c>
      <c r="D473" s="4" t="s">
        <v>13</v>
      </c>
      <c r="E473" s="5" t="s">
        <v>1394</v>
      </c>
      <c r="F473" s="4" t="s">
        <v>39</v>
      </c>
      <c r="G473" s="5"/>
      <c r="H473" s="4" t="s">
        <v>39</v>
      </c>
    </row>
    <row r="474" spans="1:8" x14ac:dyDescent="0.55000000000000004">
      <c r="A474" s="4"/>
      <c r="B474" s="5" t="s">
        <v>1395</v>
      </c>
      <c r="C474" s="5" t="s">
        <v>1395</v>
      </c>
      <c r="D474" s="4" t="s">
        <v>46</v>
      </c>
      <c r="E474" s="5" t="s">
        <v>1396</v>
      </c>
      <c r="F474" s="4" t="s">
        <v>39</v>
      </c>
      <c r="G474" s="5" t="s">
        <v>1397</v>
      </c>
      <c r="H474" s="4" t="s">
        <v>39</v>
      </c>
    </row>
    <row r="475" spans="1:8" x14ac:dyDescent="0.55000000000000004">
      <c r="A475" s="4"/>
      <c r="B475" s="5" t="s">
        <v>1398</v>
      </c>
      <c r="C475" s="5" t="s">
        <v>1398</v>
      </c>
      <c r="D475" s="4" t="s">
        <v>21</v>
      </c>
      <c r="E475" s="5" t="s">
        <v>1399</v>
      </c>
      <c r="F475" s="4" t="s">
        <v>39</v>
      </c>
      <c r="G475" s="5"/>
      <c r="H475" s="4" t="s">
        <v>39</v>
      </c>
    </row>
    <row r="476" spans="1:8" x14ac:dyDescent="0.55000000000000004">
      <c r="A476" s="4"/>
      <c r="B476" s="5" t="s">
        <v>1400</v>
      </c>
      <c r="C476" s="5" t="s">
        <v>1400</v>
      </c>
      <c r="D476" s="4" t="s">
        <v>46</v>
      </c>
      <c r="E476" s="5" t="s">
        <v>1401</v>
      </c>
      <c r="F476" s="4" t="s">
        <v>39</v>
      </c>
      <c r="G476" s="5"/>
      <c r="H476" s="4" t="s">
        <v>39</v>
      </c>
    </row>
    <row r="477" spans="1:8" x14ac:dyDescent="0.55000000000000004">
      <c r="A477" s="4"/>
      <c r="B477" s="5" t="s">
        <v>1402</v>
      </c>
      <c r="C477" s="5" t="s">
        <v>1402</v>
      </c>
      <c r="D477" s="4" t="s">
        <v>13</v>
      </c>
      <c r="E477" s="5" t="s">
        <v>1403</v>
      </c>
      <c r="F477" s="4" t="s">
        <v>39</v>
      </c>
      <c r="G477" s="5"/>
      <c r="H477" s="4" t="s">
        <v>39</v>
      </c>
    </row>
    <row r="478" spans="1:8" x14ac:dyDescent="0.55000000000000004">
      <c r="A478" s="4"/>
      <c r="B478" s="5" t="s">
        <v>1404</v>
      </c>
      <c r="C478" s="5" t="s">
        <v>1404</v>
      </c>
      <c r="D478" s="4" t="s">
        <v>21</v>
      </c>
      <c r="E478" s="5" t="s">
        <v>1405</v>
      </c>
      <c r="F478" s="4" t="s">
        <v>39</v>
      </c>
      <c r="G478" s="5"/>
      <c r="H478" s="4" t="s">
        <v>39</v>
      </c>
    </row>
    <row r="479" spans="1:8" x14ac:dyDescent="0.55000000000000004">
      <c r="A479" s="4"/>
      <c r="B479" s="5" t="s">
        <v>1406</v>
      </c>
      <c r="C479" s="5" t="s">
        <v>1406</v>
      </c>
      <c r="D479" s="4" t="s">
        <v>21</v>
      </c>
      <c r="E479" s="5" t="s">
        <v>1407</v>
      </c>
      <c r="F479" s="4" t="s">
        <v>39</v>
      </c>
      <c r="G479" s="5"/>
      <c r="H479" s="4" t="s">
        <v>39</v>
      </c>
    </row>
    <row r="480" spans="1:8" x14ac:dyDescent="0.55000000000000004">
      <c r="A480" s="4"/>
      <c r="B480" s="5" t="s">
        <v>1408</v>
      </c>
      <c r="C480" s="5" t="s">
        <v>1409</v>
      </c>
      <c r="D480" s="4" t="s">
        <v>21</v>
      </c>
      <c r="E480" s="5" t="s">
        <v>1410</v>
      </c>
      <c r="F480" s="4" t="s">
        <v>134</v>
      </c>
      <c r="G480" s="5"/>
      <c r="H480" s="4" t="s">
        <v>144</v>
      </c>
    </row>
    <row r="481" spans="1:8" x14ac:dyDescent="0.55000000000000004">
      <c r="A481" s="4"/>
      <c r="B481" s="5" t="s">
        <v>1409</v>
      </c>
      <c r="C481" s="5" t="s">
        <v>1411</v>
      </c>
      <c r="D481" s="4" t="s">
        <v>42</v>
      </c>
      <c r="E481" s="5" t="s">
        <v>1412</v>
      </c>
      <c r="F481" s="4" t="s">
        <v>134</v>
      </c>
      <c r="G481" s="5"/>
      <c r="H481" s="4" t="s">
        <v>144</v>
      </c>
    </row>
    <row r="482" spans="1:8" x14ac:dyDescent="0.55000000000000004">
      <c r="A482" s="4"/>
      <c r="B482" s="5" t="s">
        <v>1413</v>
      </c>
      <c r="C482" s="5" t="s">
        <v>1413</v>
      </c>
      <c r="D482" s="4" t="s">
        <v>13</v>
      </c>
      <c r="E482" s="5" t="s">
        <v>1414</v>
      </c>
      <c r="F482" s="4" t="s">
        <v>39</v>
      </c>
      <c r="G482" s="5"/>
      <c r="H482" s="4" t="s">
        <v>39</v>
      </c>
    </row>
    <row r="483" spans="1:8" x14ac:dyDescent="0.55000000000000004">
      <c r="A483" s="4"/>
      <c r="B483" s="5" t="s">
        <v>1415</v>
      </c>
      <c r="C483" s="5" t="s">
        <v>1416</v>
      </c>
      <c r="D483" s="4" t="s">
        <v>46</v>
      </c>
      <c r="E483" s="5" t="s">
        <v>1417</v>
      </c>
      <c r="F483" s="4" t="s">
        <v>134</v>
      </c>
      <c r="G483" s="5" t="s">
        <v>1418</v>
      </c>
      <c r="H483" s="4" t="s">
        <v>151</v>
      </c>
    </row>
    <row r="484" spans="1:8" x14ac:dyDescent="0.55000000000000004">
      <c r="A484" s="4"/>
      <c r="B484" s="5" t="s">
        <v>1419</v>
      </c>
      <c r="C484" s="5" t="s">
        <v>1419</v>
      </c>
      <c r="D484" s="4" t="s">
        <v>13</v>
      </c>
      <c r="E484" s="5" t="s">
        <v>1420</v>
      </c>
      <c r="F484" s="4" t="s">
        <v>39</v>
      </c>
      <c r="G484" s="5"/>
      <c r="H484" s="4" t="s">
        <v>39</v>
      </c>
    </row>
    <row r="485" spans="1:8" x14ac:dyDescent="0.55000000000000004">
      <c r="A485" s="4"/>
      <c r="B485" s="5" t="s">
        <v>1421</v>
      </c>
      <c r="C485" s="5" t="s">
        <v>1422</v>
      </c>
      <c r="D485" s="4" t="s">
        <v>13</v>
      </c>
      <c r="E485" s="5" t="s">
        <v>1423</v>
      </c>
      <c r="F485" s="4" t="s">
        <v>39</v>
      </c>
      <c r="G485" s="5"/>
      <c r="H485" s="4" t="s">
        <v>39</v>
      </c>
    </row>
    <row r="486" spans="1:8" x14ac:dyDescent="0.55000000000000004">
      <c r="A486" s="4"/>
      <c r="B486" s="5" t="s">
        <v>1424</v>
      </c>
      <c r="C486" s="5" t="s">
        <v>1424</v>
      </c>
      <c r="D486" s="4" t="s">
        <v>21</v>
      </c>
      <c r="E486" s="5" t="s">
        <v>1425</v>
      </c>
      <c r="F486" s="4" t="s">
        <v>39</v>
      </c>
      <c r="G486" s="5"/>
      <c r="H486" s="4" t="s">
        <v>39</v>
      </c>
    </row>
    <row r="487" spans="1:8" x14ac:dyDescent="0.55000000000000004">
      <c r="A487" s="4"/>
      <c r="B487" s="5" t="s">
        <v>1426</v>
      </c>
      <c r="C487" s="5" t="s">
        <v>1427</v>
      </c>
      <c r="D487" s="4" t="s">
        <v>21</v>
      </c>
      <c r="E487" s="5" t="s">
        <v>1428</v>
      </c>
      <c r="F487" s="4" t="s">
        <v>39</v>
      </c>
      <c r="G487" s="5"/>
      <c r="H487" s="4" t="s">
        <v>39</v>
      </c>
    </row>
    <row r="488" spans="1:8" x14ac:dyDescent="0.55000000000000004">
      <c r="A488" s="4"/>
      <c r="B488" s="5" t="s">
        <v>1429</v>
      </c>
      <c r="C488" s="5" t="s">
        <v>1429</v>
      </c>
      <c r="D488" s="4" t="s">
        <v>21</v>
      </c>
      <c r="E488" s="5" t="s">
        <v>1430</v>
      </c>
      <c r="F488" s="4" t="s">
        <v>680</v>
      </c>
      <c r="G488" s="5" t="s">
        <v>1431</v>
      </c>
      <c r="H488" s="4" t="s">
        <v>1432</v>
      </c>
    </row>
    <row r="489" spans="1:8" x14ac:dyDescent="0.55000000000000004">
      <c r="A489" s="4"/>
      <c r="B489" s="5" t="s">
        <v>1433</v>
      </c>
      <c r="C489" s="5" t="s">
        <v>1433</v>
      </c>
      <c r="D489" s="4" t="s">
        <v>21</v>
      </c>
      <c r="E489" s="5" t="s">
        <v>1434</v>
      </c>
      <c r="F489" s="4" t="s">
        <v>39</v>
      </c>
      <c r="G489" s="5"/>
      <c r="H489" s="4" t="s">
        <v>39</v>
      </c>
    </row>
    <row r="490" spans="1:8" x14ac:dyDescent="0.55000000000000004">
      <c r="A490" s="4"/>
      <c r="B490" s="5" t="s">
        <v>1435</v>
      </c>
      <c r="C490" s="5" t="s">
        <v>1435</v>
      </c>
      <c r="D490" s="4" t="s">
        <v>21</v>
      </c>
      <c r="E490" s="5" t="s">
        <v>1436</v>
      </c>
      <c r="F490" s="4" t="s">
        <v>39</v>
      </c>
      <c r="G490" s="5"/>
      <c r="H490" s="4" t="s">
        <v>39</v>
      </c>
    </row>
    <row r="491" spans="1:8" x14ac:dyDescent="0.55000000000000004">
      <c r="A491" s="4"/>
      <c r="B491" s="5" t="s">
        <v>1437</v>
      </c>
      <c r="C491" s="5" t="s">
        <v>1437</v>
      </c>
      <c r="D491" s="4" t="s">
        <v>21</v>
      </c>
      <c r="E491" s="5" t="s">
        <v>1438</v>
      </c>
      <c r="F491" s="4" t="s">
        <v>1439</v>
      </c>
      <c r="G491" s="5"/>
      <c r="H491" s="4" t="s">
        <v>24</v>
      </c>
    </row>
    <row r="492" spans="1:8" x14ac:dyDescent="0.55000000000000004">
      <c r="A492" s="4"/>
      <c r="B492" s="5" t="s">
        <v>1440</v>
      </c>
      <c r="C492" s="5" t="s">
        <v>1440</v>
      </c>
      <c r="D492" s="4" t="s">
        <v>21</v>
      </c>
      <c r="E492" s="5" t="s">
        <v>1441</v>
      </c>
      <c r="F492" s="4"/>
      <c r="G492" s="5" t="s">
        <v>1442</v>
      </c>
      <c r="H492" s="4" t="s">
        <v>341</v>
      </c>
    </row>
    <row r="493" spans="1:8" x14ac:dyDescent="0.55000000000000004">
      <c r="A493" s="4"/>
      <c r="B493" s="5" t="s">
        <v>1443</v>
      </c>
      <c r="C493" s="5" t="s">
        <v>1443</v>
      </c>
      <c r="D493" s="4" t="s">
        <v>13</v>
      </c>
      <c r="E493" s="5" t="s">
        <v>1444</v>
      </c>
      <c r="F493" s="4" t="s">
        <v>39</v>
      </c>
      <c r="G493" s="5"/>
      <c r="H493" s="4" t="s">
        <v>39</v>
      </c>
    </row>
    <row r="494" spans="1:8" x14ac:dyDescent="0.55000000000000004">
      <c r="A494" s="4"/>
      <c r="B494" s="5" t="s">
        <v>1445</v>
      </c>
      <c r="C494" s="5" t="s">
        <v>1446</v>
      </c>
      <c r="D494" s="4" t="s">
        <v>21</v>
      </c>
      <c r="E494" s="5" t="s">
        <v>1447</v>
      </c>
      <c r="F494" s="4" t="s">
        <v>39</v>
      </c>
      <c r="G494" s="5"/>
      <c r="H494" s="4" t="s">
        <v>39</v>
      </c>
    </row>
    <row r="495" spans="1:8" x14ac:dyDescent="0.55000000000000004">
      <c r="A495" s="4"/>
      <c r="B495" s="5" t="s">
        <v>1448</v>
      </c>
      <c r="C495" s="5" t="s">
        <v>1448</v>
      </c>
      <c r="D495" s="4" t="s">
        <v>21</v>
      </c>
      <c r="E495" s="5" t="s">
        <v>1449</v>
      </c>
      <c r="F495" s="4" t="s">
        <v>39</v>
      </c>
      <c r="G495" s="5"/>
      <c r="H495" s="4" t="s">
        <v>39</v>
      </c>
    </row>
    <row r="496" spans="1:8" x14ac:dyDescent="0.55000000000000004">
      <c r="A496" s="4"/>
      <c r="B496" s="5" t="s">
        <v>1450</v>
      </c>
      <c r="C496" s="5" t="s">
        <v>1450</v>
      </c>
      <c r="D496" s="4" t="s">
        <v>21</v>
      </c>
      <c r="E496" s="5" t="s">
        <v>1451</v>
      </c>
      <c r="F496" s="4" t="s">
        <v>39</v>
      </c>
      <c r="G496" s="5"/>
      <c r="H496" s="4" t="s">
        <v>39</v>
      </c>
    </row>
    <row r="497" spans="1:8" x14ac:dyDescent="0.55000000000000004">
      <c r="A497" s="4"/>
      <c r="B497" s="5" t="s">
        <v>1452</v>
      </c>
      <c r="C497" s="5" t="s">
        <v>1453</v>
      </c>
      <c r="D497" s="4" t="s">
        <v>21</v>
      </c>
      <c r="E497" s="5" t="s">
        <v>1454</v>
      </c>
      <c r="F497" s="4" t="s">
        <v>39</v>
      </c>
      <c r="G497" s="5"/>
      <c r="H497" s="4" t="s">
        <v>39</v>
      </c>
    </row>
    <row r="498" spans="1:8" x14ac:dyDescent="0.55000000000000004">
      <c r="A498" s="4"/>
      <c r="B498" s="5" t="s">
        <v>1455</v>
      </c>
      <c r="C498" s="5" t="s">
        <v>1455</v>
      </c>
      <c r="D498" s="4" t="s">
        <v>46</v>
      </c>
      <c r="E498" s="5" t="s">
        <v>1456</v>
      </c>
      <c r="F498" s="4" t="s">
        <v>1457</v>
      </c>
      <c r="G498" s="5"/>
      <c r="H498" s="4" t="s">
        <v>151</v>
      </c>
    </row>
    <row r="499" spans="1:8" x14ac:dyDescent="0.55000000000000004">
      <c r="A499" s="4"/>
      <c r="B499" s="5" t="s">
        <v>1458</v>
      </c>
      <c r="C499" s="5" t="s">
        <v>1458</v>
      </c>
      <c r="D499" s="4" t="s">
        <v>46</v>
      </c>
      <c r="E499" s="5" t="s">
        <v>1459</v>
      </c>
      <c r="F499" s="4" t="s">
        <v>39</v>
      </c>
      <c r="G499" s="5"/>
      <c r="H499" s="4" t="s">
        <v>39</v>
      </c>
    </row>
    <row r="500" spans="1:8" x14ac:dyDescent="0.55000000000000004">
      <c r="A500" s="4"/>
      <c r="B500" s="5" t="s">
        <v>1460</v>
      </c>
      <c r="C500" s="5" t="s">
        <v>1461</v>
      </c>
      <c r="D500" s="4" t="s">
        <v>42</v>
      </c>
      <c r="E500" s="5" t="s">
        <v>1462</v>
      </c>
      <c r="F500" s="4" t="s">
        <v>39</v>
      </c>
      <c r="G500" s="5"/>
      <c r="H500" s="4" t="s">
        <v>39</v>
      </c>
    </row>
    <row r="501" spans="1:8" x14ac:dyDescent="0.55000000000000004">
      <c r="A501" s="4"/>
      <c r="B501" s="5" t="s">
        <v>1463</v>
      </c>
      <c r="C501" s="5" t="s">
        <v>1464</v>
      </c>
      <c r="D501" s="4" t="s">
        <v>46</v>
      </c>
      <c r="E501" s="5" t="s">
        <v>1465</v>
      </c>
      <c r="F501" s="4" t="s">
        <v>39</v>
      </c>
      <c r="G501" s="5"/>
      <c r="H501" s="4" t="s">
        <v>39</v>
      </c>
    </row>
    <row r="502" spans="1:8" x14ac:dyDescent="0.55000000000000004">
      <c r="A502" s="4"/>
      <c r="B502" s="5" t="s">
        <v>1466</v>
      </c>
      <c r="C502" s="5" t="s">
        <v>1467</v>
      </c>
      <c r="D502" s="4" t="s">
        <v>21</v>
      </c>
      <c r="E502" s="5" t="s">
        <v>1468</v>
      </c>
      <c r="F502" s="4" t="s">
        <v>39</v>
      </c>
      <c r="G502" s="5"/>
      <c r="H502" s="4" t="s">
        <v>39</v>
      </c>
    </row>
    <row r="503" spans="1:8" x14ac:dyDescent="0.55000000000000004">
      <c r="A503" s="4"/>
      <c r="B503" s="5" t="s">
        <v>1469</v>
      </c>
      <c r="C503" s="5" t="s">
        <v>1470</v>
      </c>
      <c r="D503" s="4" t="s">
        <v>21</v>
      </c>
      <c r="E503" s="5" t="s">
        <v>1471</v>
      </c>
      <c r="F503" s="4" t="s">
        <v>39</v>
      </c>
      <c r="G503" s="5"/>
      <c r="H503" s="4" t="s">
        <v>39</v>
      </c>
    </row>
    <row r="504" spans="1:8" x14ac:dyDescent="0.55000000000000004">
      <c r="A504" s="4"/>
      <c r="B504" s="5" t="s">
        <v>1472</v>
      </c>
      <c r="C504" s="5" t="s">
        <v>1473</v>
      </c>
      <c r="D504" s="4" t="s">
        <v>13</v>
      </c>
      <c r="E504" s="5" t="s">
        <v>1474</v>
      </c>
      <c r="F504" s="4" t="s">
        <v>39</v>
      </c>
      <c r="G504" s="5"/>
      <c r="H504" s="4" t="s">
        <v>39</v>
      </c>
    </row>
    <row r="505" spans="1:8" x14ac:dyDescent="0.55000000000000004">
      <c r="A505" s="4"/>
      <c r="B505" s="5" t="s">
        <v>1475</v>
      </c>
      <c r="C505" s="5" t="s">
        <v>1472</v>
      </c>
      <c r="D505" s="4" t="s">
        <v>13</v>
      </c>
      <c r="E505" s="5" t="s">
        <v>1476</v>
      </c>
      <c r="F505" s="4" t="s">
        <v>39</v>
      </c>
      <c r="G505" s="5"/>
      <c r="H505" s="4" t="s">
        <v>39</v>
      </c>
    </row>
    <row r="506" spans="1:8" x14ac:dyDescent="0.55000000000000004">
      <c r="A506" s="4"/>
      <c r="B506" s="5" t="s">
        <v>1477</v>
      </c>
      <c r="C506" s="5" t="s">
        <v>1477</v>
      </c>
      <c r="D506" s="4" t="s">
        <v>49</v>
      </c>
      <c r="E506" s="5" t="s">
        <v>1478</v>
      </c>
      <c r="F506" s="4" t="s">
        <v>39</v>
      </c>
      <c r="G506" s="5"/>
      <c r="H506" s="4" t="s">
        <v>39</v>
      </c>
    </row>
    <row r="507" spans="1:8" x14ac:dyDescent="0.55000000000000004">
      <c r="A507" s="4"/>
      <c r="B507" s="5" t="s">
        <v>1479</v>
      </c>
      <c r="C507" s="5" t="s">
        <v>1479</v>
      </c>
      <c r="D507" s="4" t="s">
        <v>13</v>
      </c>
      <c r="E507" s="5" t="s">
        <v>1480</v>
      </c>
      <c r="F507" s="4" t="s">
        <v>39</v>
      </c>
      <c r="G507" s="5"/>
      <c r="H507" s="4" t="s">
        <v>39</v>
      </c>
    </row>
    <row r="508" spans="1:8" x14ac:dyDescent="0.55000000000000004">
      <c r="A508" s="4"/>
      <c r="B508" s="5" t="s">
        <v>1481</v>
      </c>
      <c r="C508" s="5" t="s">
        <v>1482</v>
      </c>
      <c r="D508" s="4" t="s">
        <v>13</v>
      </c>
      <c r="E508" s="5" t="s">
        <v>1483</v>
      </c>
      <c r="F508" s="4" t="s">
        <v>39</v>
      </c>
      <c r="G508" s="5"/>
      <c r="H508" s="4" t="s">
        <v>39</v>
      </c>
    </row>
    <row r="509" spans="1:8" x14ac:dyDescent="0.55000000000000004">
      <c r="A509" s="4"/>
      <c r="B509" s="5" t="s">
        <v>1484</v>
      </c>
      <c r="C509" s="5" t="s">
        <v>1484</v>
      </c>
      <c r="D509" s="4" t="s">
        <v>42</v>
      </c>
      <c r="E509" s="5" t="s">
        <v>1485</v>
      </c>
      <c r="F509" s="4" t="s">
        <v>39</v>
      </c>
      <c r="G509" s="5"/>
      <c r="H509" s="4" t="s">
        <v>39</v>
      </c>
    </row>
    <row r="510" spans="1:8" x14ac:dyDescent="0.55000000000000004">
      <c r="A510" s="4"/>
      <c r="B510" s="5" t="s">
        <v>1486</v>
      </c>
      <c r="C510" s="5" t="s">
        <v>1486</v>
      </c>
      <c r="D510" s="4" t="s">
        <v>21</v>
      </c>
      <c r="E510" s="5" t="s">
        <v>1487</v>
      </c>
      <c r="F510" s="4" t="s">
        <v>39</v>
      </c>
      <c r="G510" s="5"/>
      <c r="H510" s="4" t="s">
        <v>39</v>
      </c>
    </row>
    <row r="511" spans="1:8" x14ac:dyDescent="0.55000000000000004">
      <c r="A511" s="4"/>
      <c r="B511" s="5" t="s">
        <v>1488</v>
      </c>
      <c r="C511" s="5" t="s">
        <v>1489</v>
      </c>
      <c r="D511" s="4" t="s">
        <v>21</v>
      </c>
      <c r="E511" s="5" t="s">
        <v>1490</v>
      </c>
      <c r="F511" s="4" t="s">
        <v>39</v>
      </c>
      <c r="G511" s="5"/>
      <c r="H511" s="4" t="s">
        <v>39</v>
      </c>
    </row>
    <row r="512" spans="1:8" x14ac:dyDescent="0.55000000000000004">
      <c r="A512" s="4"/>
      <c r="B512" s="5" t="s">
        <v>1491</v>
      </c>
      <c r="C512" s="5" t="s">
        <v>1491</v>
      </c>
      <c r="D512" s="4" t="s">
        <v>42</v>
      </c>
      <c r="E512" s="5" t="s">
        <v>1492</v>
      </c>
      <c r="F512" s="4" t="s">
        <v>39</v>
      </c>
      <c r="G512" s="5"/>
      <c r="H512" s="4" t="s">
        <v>39</v>
      </c>
    </row>
    <row r="513" spans="1:12" x14ac:dyDescent="0.55000000000000004">
      <c r="A513" s="4"/>
      <c r="B513" s="5" t="s">
        <v>1493</v>
      </c>
      <c r="C513" s="5" t="s">
        <v>1493</v>
      </c>
      <c r="D513" s="4" t="s">
        <v>13</v>
      </c>
      <c r="E513" s="5" t="s">
        <v>1494</v>
      </c>
      <c r="F513" s="4" t="s">
        <v>68</v>
      </c>
      <c r="G513" s="5" t="s">
        <v>1495</v>
      </c>
      <c r="H513" s="4" t="s">
        <v>99</v>
      </c>
    </row>
    <row r="514" spans="1:12" x14ac:dyDescent="0.55000000000000004">
      <c r="A514" s="4"/>
      <c r="B514" s="5" t="s">
        <v>1496</v>
      </c>
      <c r="C514" s="5" t="s">
        <v>1496</v>
      </c>
      <c r="D514" s="4" t="s">
        <v>46</v>
      </c>
      <c r="E514" s="5" t="s">
        <v>1497</v>
      </c>
      <c r="F514" s="4" t="s">
        <v>68</v>
      </c>
      <c r="G514" s="5" t="s">
        <v>1498</v>
      </c>
      <c r="H514" s="4" t="s">
        <v>99</v>
      </c>
    </row>
    <row r="515" spans="1:12" x14ac:dyDescent="0.55000000000000004">
      <c r="A515" s="4"/>
      <c r="B515" s="5" t="s">
        <v>1499</v>
      </c>
      <c r="C515" s="5" t="s">
        <v>1499</v>
      </c>
      <c r="D515" s="4" t="s">
        <v>13</v>
      </c>
      <c r="E515" s="5" t="s">
        <v>1500</v>
      </c>
      <c r="F515" s="4"/>
      <c r="G515" s="5"/>
      <c r="H515" s="4"/>
    </row>
    <row r="516" spans="1:12" x14ac:dyDescent="0.55000000000000004">
      <c r="A516" s="4"/>
      <c r="B516" s="5" t="s">
        <v>1501</v>
      </c>
      <c r="C516" s="5" t="s">
        <v>1501</v>
      </c>
      <c r="D516" s="4" t="s">
        <v>1502</v>
      </c>
      <c r="E516" s="4" t="s">
        <v>1503</v>
      </c>
      <c r="F516" s="4" t="s">
        <v>428</v>
      </c>
      <c r="G516" s="5"/>
      <c r="H516" s="4" t="s">
        <v>24</v>
      </c>
    </row>
    <row r="517" spans="1:12" x14ac:dyDescent="0.55000000000000004">
      <c r="A517" s="4">
        <v>33</v>
      </c>
      <c r="B517" s="5" t="s">
        <v>1504</v>
      </c>
      <c r="C517" s="5" t="s">
        <v>1505</v>
      </c>
      <c r="D517" s="4" t="s">
        <v>21</v>
      </c>
      <c r="E517" s="5" t="s">
        <v>1506</v>
      </c>
      <c r="F517" s="4" t="s">
        <v>28</v>
      </c>
      <c r="G517" s="5" t="s">
        <v>1507</v>
      </c>
      <c r="H517" s="4" t="s">
        <v>1508</v>
      </c>
    </row>
    <row r="518" spans="1:12" x14ac:dyDescent="0.55000000000000004">
      <c r="A518" s="4">
        <v>32</v>
      </c>
      <c r="B518" s="5" t="s">
        <v>1509</v>
      </c>
      <c r="C518" s="5" t="s">
        <v>1510</v>
      </c>
      <c r="D518" s="4" t="s">
        <v>21</v>
      </c>
      <c r="E518" s="5" t="s">
        <v>1511</v>
      </c>
      <c r="F518" s="4" t="s">
        <v>28</v>
      </c>
      <c r="G518" s="5" t="s">
        <v>1512</v>
      </c>
      <c r="H518" s="4" t="s">
        <v>1513</v>
      </c>
    </row>
    <row r="519" spans="1:12" x14ac:dyDescent="0.55000000000000004">
      <c r="A519" s="4">
        <v>56</v>
      </c>
      <c r="B519" s="5" t="s">
        <v>1514</v>
      </c>
      <c r="C519" s="5" t="s">
        <v>1515</v>
      </c>
      <c r="D519" s="4" t="s">
        <v>42</v>
      </c>
      <c r="E519" s="5" t="s">
        <v>1516</v>
      </c>
      <c r="F519" s="4" t="s">
        <v>28</v>
      </c>
      <c r="G519" s="5" t="s">
        <v>1507</v>
      </c>
      <c r="H519" s="4" t="s">
        <v>1517</v>
      </c>
    </row>
    <row r="520" spans="1:12" x14ac:dyDescent="0.55000000000000004">
      <c r="A520" s="4">
        <v>56</v>
      </c>
      <c r="B520" s="5" t="s">
        <v>1518</v>
      </c>
      <c r="C520" s="5" t="s">
        <v>1519</v>
      </c>
      <c r="D520" s="4" t="s">
        <v>42</v>
      </c>
      <c r="E520" s="5" t="s">
        <v>1520</v>
      </c>
      <c r="F520" s="4" t="s">
        <v>28</v>
      </c>
      <c r="G520" s="5" t="s">
        <v>1507</v>
      </c>
      <c r="H520" s="4" t="s">
        <v>1517</v>
      </c>
      <c r="I520" s="2" t="s">
        <v>1521</v>
      </c>
    </row>
    <row r="521" spans="1:12" x14ac:dyDescent="0.55000000000000004">
      <c r="A521" s="4"/>
      <c r="B521" s="5" t="s">
        <v>1522</v>
      </c>
      <c r="C521" s="5" t="s">
        <v>1523</v>
      </c>
      <c r="D521" s="4" t="s">
        <v>46</v>
      </c>
      <c r="E521" s="5" t="s">
        <v>1524</v>
      </c>
      <c r="F521" s="3" t="s">
        <v>417</v>
      </c>
      <c r="G521" s="5"/>
      <c r="H521" s="4" t="s">
        <v>1252</v>
      </c>
    </row>
    <row r="522" spans="1:12" x14ac:dyDescent="0.55000000000000004">
      <c r="A522" s="4"/>
      <c r="B522" s="5" t="s">
        <v>1525</v>
      </c>
      <c r="C522" s="5" t="s">
        <v>1526</v>
      </c>
      <c r="D522" s="4" t="s">
        <v>13</v>
      </c>
      <c r="E522" s="5" t="s">
        <v>1527</v>
      </c>
      <c r="F522" s="4" t="s">
        <v>39</v>
      </c>
      <c r="G522" s="5"/>
      <c r="H522" s="4" t="s">
        <v>39</v>
      </c>
    </row>
    <row r="523" spans="1:12" x14ac:dyDescent="0.55000000000000004">
      <c r="A523" s="4"/>
      <c r="B523" s="5" t="s">
        <v>1528</v>
      </c>
      <c r="C523" s="5" t="s">
        <v>1529</v>
      </c>
      <c r="D523" s="4" t="s">
        <v>21</v>
      </c>
      <c r="E523" s="5" t="s">
        <v>1530</v>
      </c>
      <c r="F523" s="4" t="s">
        <v>422</v>
      </c>
      <c r="G523" s="5" t="s">
        <v>1531</v>
      </c>
      <c r="H523" s="4" t="s">
        <v>57</v>
      </c>
      <c r="I523" s="2" t="s">
        <v>1532</v>
      </c>
    </row>
    <row r="524" spans="1:12" x14ac:dyDescent="0.55000000000000004">
      <c r="A524" s="4"/>
      <c r="B524" s="5" t="s">
        <v>1533</v>
      </c>
      <c r="C524" s="5" t="s">
        <v>1534</v>
      </c>
      <c r="D524" s="4" t="s">
        <v>46</v>
      </c>
      <c r="E524" s="5" t="s">
        <v>1535</v>
      </c>
      <c r="F524" s="4" t="s">
        <v>422</v>
      </c>
      <c r="G524" s="5" t="s">
        <v>1531</v>
      </c>
      <c r="H524" s="4" t="s">
        <v>57</v>
      </c>
      <c r="I524" s="2" t="s">
        <v>1536</v>
      </c>
      <c r="L524" s="1"/>
    </row>
    <row r="525" spans="1:12" x14ac:dyDescent="0.55000000000000004">
      <c r="A525" s="4"/>
      <c r="B525" s="5" t="s">
        <v>1537</v>
      </c>
      <c r="C525" s="5" t="s">
        <v>1538</v>
      </c>
      <c r="D525" s="4" t="s">
        <v>21</v>
      </c>
      <c r="E525" s="5" t="s">
        <v>1539</v>
      </c>
      <c r="F525" s="4" t="s">
        <v>422</v>
      </c>
      <c r="G525" s="5" t="s">
        <v>1531</v>
      </c>
      <c r="H525" s="4" t="s">
        <v>57</v>
      </c>
      <c r="I525" s="2" t="s">
        <v>1540</v>
      </c>
      <c r="L525" s="1"/>
    </row>
    <row r="526" spans="1:12" x14ac:dyDescent="0.55000000000000004">
      <c r="A526" s="4"/>
      <c r="B526" s="5" t="s">
        <v>1541</v>
      </c>
      <c r="C526" s="5" t="s">
        <v>1542</v>
      </c>
      <c r="D526" s="4" t="s">
        <v>46</v>
      </c>
      <c r="E526" s="5" t="s">
        <v>1543</v>
      </c>
      <c r="F526" s="4" t="s">
        <v>422</v>
      </c>
      <c r="G526" s="5" t="s">
        <v>1531</v>
      </c>
      <c r="H526" s="4" t="s">
        <v>57</v>
      </c>
      <c r="I526" s="16" t="s">
        <v>1544</v>
      </c>
      <c r="L526" s="1"/>
    </row>
    <row r="527" spans="1:12" x14ac:dyDescent="0.55000000000000004">
      <c r="A527" s="4">
        <v>69</v>
      </c>
      <c r="B527" s="5" t="s">
        <v>1545</v>
      </c>
      <c r="C527" s="5" t="s">
        <v>1546</v>
      </c>
      <c r="D527" s="4" t="s">
        <v>46</v>
      </c>
      <c r="E527" s="5" t="s">
        <v>1547</v>
      </c>
      <c r="F527" s="4" t="s">
        <v>28</v>
      </c>
      <c r="G527" s="5" t="s">
        <v>1548</v>
      </c>
      <c r="H527" s="4" t="s">
        <v>1549</v>
      </c>
      <c r="L527" s="1"/>
    </row>
    <row r="528" spans="1:12" x14ac:dyDescent="0.55000000000000004">
      <c r="A528" s="4"/>
      <c r="B528" s="5" t="s">
        <v>1550</v>
      </c>
      <c r="C528" s="5" t="s">
        <v>1551</v>
      </c>
      <c r="D528" s="4" t="s">
        <v>21</v>
      </c>
      <c r="E528" s="5" t="s">
        <v>1552</v>
      </c>
      <c r="F528" s="4"/>
      <c r="G528" s="5"/>
      <c r="H528" s="4" t="s">
        <v>151</v>
      </c>
      <c r="L528" s="1"/>
    </row>
    <row r="529" spans="1:12" x14ac:dyDescent="0.55000000000000004">
      <c r="A529" s="4"/>
      <c r="B529" s="5" t="s">
        <v>1553</v>
      </c>
      <c r="C529" s="5" t="s">
        <v>1554</v>
      </c>
      <c r="D529" s="4" t="s">
        <v>46</v>
      </c>
      <c r="E529" s="5" t="s">
        <v>1555</v>
      </c>
      <c r="F529" s="4"/>
      <c r="G529" s="5"/>
      <c r="H529" s="4" t="s">
        <v>24</v>
      </c>
      <c r="L529" s="1"/>
    </row>
    <row r="530" spans="1:12" x14ac:dyDescent="0.55000000000000004">
      <c r="A530" s="4">
        <v>9</v>
      </c>
      <c r="B530" s="5" t="s">
        <v>1556</v>
      </c>
      <c r="C530" s="5" t="s">
        <v>1557</v>
      </c>
      <c r="D530" s="4" t="s">
        <v>13</v>
      </c>
      <c r="E530" s="5" t="s">
        <v>1558</v>
      </c>
      <c r="F530" s="4" t="s">
        <v>28</v>
      </c>
      <c r="G530" s="5" t="s">
        <v>1559</v>
      </c>
      <c r="H530" s="4" t="s">
        <v>1560</v>
      </c>
      <c r="L530" s="1"/>
    </row>
    <row r="531" spans="1:12" x14ac:dyDescent="0.55000000000000004">
      <c r="A531" s="4">
        <v>9.1</v>
      </c>
      <c r="B531" s="5" t="s">
        <v>1561</v>
      </c>
      <c r="C531" s="5" t="s">
        <v>1562</v>
      </c>
      <c r="D531" s="4" t="s">
        <v>21</v>
      </c>
      <c r="E531" s="5" t="s">
        <v>1563</v>
      </c>
      <c r="F531" s="4" t="s">
        <v>28</v>
      </c>
      <c r="G531" s="5" t="s">
        <v>1559</v>
      </c>
      <c r="H531" s="4" t="s">
        <v>1560</v>
      </c>
    </row>
    <row r="532" spans="1:12" x14ac:dyDescent="0.55000000000000004">
      <c r="A532" s="4"/>
      <c r="B532" s="5" t="s">
        <v>1564</v>
      </c>
      <c r="C532" s="5" t="s">
        <v>1565</v>
      </c>
      <c r="D532" s="4" t="s">
        <v>46</v>
      </c>
      <c r="E532" s="5" t="s">
        <v>1566</v>
      </c>
      <c r="F532" s="4" t="s">
        <v>422</v>
      </c>
      <c r="G532" s="5" t="s">
        <v>1567</v>
      </c>
      <c r="H532" s="4" t="s">
        <v>57</v>
      </c>
    </row>
    <row r="533" spans="1:12" x14ac:dyDescent="0.55000000000000004">
      <c r="A533" s="4">
        <v>8</v>
      </c>
      <c r="B533" s="5" t="s">
        <v>1568</v>
      </c>
      <c r="C533" s="5" t="s">
        <v>1569</v>
      </c>
      <c r="D533" s="4" t="s">
        <v>49</v>
      </c>
      <c r="E533" s="5" t="s">
        <v>1570</v>
      </c>
      <c r="F533" s="4" t="s">
        <v>28</v>
      </c>
      <c r="G533" s="5" t="s">
        <v>1571</v>
      </c>
      <c r="H533" s="4" t="s">
        <v>1572</v>
      </c>
    </row>
    <row r="534" spans="1:12" x14ac:dyDescent="0.55000000000000004">
      <c r="A534" s="4"/>
      <c r="B534" s="5" t="s">
        <v>1573</v>
      </c>
      <c r="C534" s="5" t="s">
        <v>1573</v>
      </c>
      <c r="D534" s="4" t="s">
        <v>132</v>
      </c>
      <c r="E534" s="5" t="s">
        <v>1574</v>
      </c>
      <c r="F534" s="4"/>
      <c r="G534" s="5"/>
      <c r="H534" s="4"/>
      <c r="J534" s="16"/>
      <c r="K534" s="16"/>
    </row>
    <row r="535" spans="1:12" x14ac:dyDescent="0.55000000000000004">
      <c r="A535" s="4"/>
      <c r="B535" s="5" t="s">
        <v>1575</v>
      </c>
      <c r="C535" s="5" t="s">
        <v>1575</v>
      </c>
      <c r="D535" s="4" t="s">
        <v>21</v>
      </c>
      <c r="E535" s="5" t="s">
        <v>1576</v>
      </c>
      <c r="F535" s="4"/>
      <c r="G535" s="5"/>
      <c r="H535" s="4" t="s">
        <v>144</v>
      </c>
    </row>
    <row r="536" spans="1:12" x14ac:dyDescent="0.55000000000000004">
      <c r="A536" s="4">
        <v>45</v>
      </c>
      <c r="B536" s="5" t="s">
        <v>1577</v>
      </c>
      <c r="C536" s="5" t="s">
        <v>1578</v>
      </c>
      <c r="D536" s="4" t="s">
        <v>21</v>
      </c>
      <c r="E536" s="5" t="s">
        <v>1579</v>
      </c>
      <c r="F536" s="4" t="s">
        <v>28</v>
      </c>
      <c r="G536" s="5"/>
      <c r="H536" s="4" t="s">
        <v>1577</v>
      </c>
    </row>
    <row r="537" spans="1:12" x14ac:dyDescent="0.55000000000000004">
      <c r="A537" s="4"/>
      <c r="B537" s="6" t="s">
        <v>1580</v>
      </c>
      <c r="C537" s="6" t="s">
        <v>1581</v>
      </c>
      <c r="D537" s="7" t="s">
        <v>21</v>
      </c>
      <c r="E537" s="6" t="s">
        <v>1582</v>
      </c>
      <c r="F537" s="7" t="s">
        <v>191</v>
      </c>
      <c r="G537" s="6"/>
      <c r="H537" s="7" t="s">
        <v>1272</v>
      </c>
    </row>
    <row r="538" spans="1:12" x14ac:dyDescent="0.55000000000000004">
      <c r="A538" s="4">
        <v>5</v>
      </c>
      <c r="B538" s="5" t="s">
        <v>1583</v>
      </c>
      <c r="C538" s="5" t="s">
        <v>1584</v>
      </c>
      <c r="D538" s="4" t="s">
        <v>21</v>
      </c>
      <c r="E538" s="5" t="s">
        <v>1585</v>
      </c>
      <c r="F538" s="4" t="s">
        <v>28</v>
      </c>
      <c r="G538" s="5" t="s">
        <v>1586</v>
      </c>
      <c r="H538" s="4" t="s">
        <v>1583</v>
      </c>
      <c r="I538" s="16" t="s">
        <v>1587</v>
      </c>
    </row>
    <row r="539" spans="1:12" x14ac:dyDescent="0.55000000000000004">
      <c r="A539" s="7">
        <v>62</v>
      </c>
      <c r="B539" s="17" t="s">
        <v>1588</v>
      </c>
      <c r="C539" s="17" t="s">
        <v>1589</v>
      </c>
      <c r="D539" s="18" t="s">
        <v>46</v>
      </c>
      <c r="E539" s="17" t="s">
        <v>1590</v>
      </c>
      <c r="F539" s="18" t="s">
        <v>28</v>
      </c>
      <c r="G539" s="17" t="s">
        <v>1591</v>
      </c>
      <c r="H539" s="18" t="s">
        <v>1280</v>
      </c>
      <c r="I539" s="2" t="s">
        <v>1532</v>
      </c>
    </row>
    <row r="540" spans="1:12" x14ac:dyDescent="0.55000000000000004">
      <c r="A540" s="4"/>
      <c r="B540" s="5" t="s">
        <v>1592</v>
      </c>
      <c r="C540" s="5" t="s">
        <v>1593</v>
      </c>
      <c r="D540" s="4" t="s">
        <v>13</v>
      </c>
      <c r="E540" s="5" t="s">
        <v>1594</v>
      </c>
      <c r="F540" s="4"/>
      <c r="G540" s="5"/>
      <c r="H540" s="4"/>
    </row>
    <row r="541" spans="1:12" x14ac:dyDescent="0.55000000000000004">
      <c r="A541" s="4">
        <v>36</v>
      </c>
      <c r="B541" s="5" t="s">
        <v>1595</v>
      </c>
      <c r="C541" s="5" t="s">
        <v>1596</v>
      </c>
      <c r="D541" s="4" t="s">
        <v>21</v>
      </c>
      <c r="E541" s="5" t="s">
        <v>1597</v>
      </c>
      <c r="F541" s="4"/>
      <c r="G541" s="5"/>
      <c r="H541" s="4" t="s">
        <v>24</v>
      </c>
    </row>
    <row r="542" spans="1:12" x14ac:dyDescent="0.55000000000000004">
      <c r="A542" s="4"/>
      <c r="B542" s="5" t="s">
        <v>1598</v>
      </c>
      <c r="C542" s="5" t="s">
        <v>1599</v>
      </c>
      <c r="D542" s="4" t="s">
        <v>21</v>
      </c>
      <c r="E542" s="5" t="s">
        <v>1600</v>
      </c>
      <c r="F542" s="4" t="s">
        <v>191</v>
      </c>
      <c r="G542" s="5"/>
      <c r="H542" s="4" t="s">
        <v>1601</v>
      </c>
    </row>
    <row r="543" spans="1:12" x14ac:dyDescent="0.55000000000000004">
      <c r="A543" s="4"/>
      <c r="B543" s="5" t="s">
        <v>1602</v>
      </c>
      <c r="C543" s="5" t="s">
        <v>1603</v>
      </c>
      <c r="D543" s="4" t="s">
        <v>49</v>
      </c>
      <c r="E543" s="5" t="s">
        <v>1604</v>
      </c>
      <c r="F543" s="4" t="s">
        <v>39</v>
      </c>
      <c r="G543" s="5"/>
      <c r="H543" s="4" t="s">
        <v>39</v>
      </c>
    </row>
    <row r="544" spans="1:12" x14ac:dyDescent="0.55000000000000004">
      <c r="A544" s="4"/>
      <c r="B544" s="5" t="s">
        <v>1605</v>
      </c>
      <c r="C544" s="5" t="s">
        <v>733</v>
      </c>
      <c r="D544" s="4" t="s">
        <v>49</v>
      </c>
      <c r="E544" s="5" t="s">
        <v>734</v>
      </c>
      <c r="F544" s="4" t="s">
        <v>39</v>
      </c>
      <c r="G544" s="5"/>
      <c r="H544" s="4" t="s">
        <v>39</v>
      </c>
    </row>
    <row r="545" spans="1:9" x14ac:dyDescent="0.55000000000000004">
      <c r="A545" s="4"/>
      <c r="B545" s="5" t="s">
        <v>1606</v>
      </c>
      <c r="C545" s="5" t="s">
        <v>1607</v>
      </c>
      <c r="D545" s="4" t="s">
        <v>13</v>
      </c>
      <c r="E545" s="5" t="s">
        <v>1608</v>
      </c>
      <c r="F545" s="4" t="s">
        <v>251</v>
      </c>
      <c r="G545" s="5"/>
      <c r="H545" s="4" t="s">
        <v>1606</v>
      </c>
    </row>
    <row r="546" spans="1:9" x14ac:dyDescent="0.55000000000000004">
      <c r="A546" s="4"/>
      <c r="B546" s="5" t="s">
        <v>1609</v>
      </c>
      <c r="C546" s="5" t="s">
        <v>1610</v>
      </c>
      <c r="D546" s="4" t="s">
        <v>13</v>
      </c>
      <c r="E546" s="5" t="s">
        <v>1611</v>
      </c>
      <c r="F546" s="4" t="s">
        <v>1612</v>
      </c>
      <c r="G546" s="5" t="s">
        <v>1613</v>
      </c>
      <c r="H546" s="4" t="s">
        <v>39</v>
      </c>
    </row>
    <row r="547" spans="1:9" x14ac:dyDescent="0.55000000000000004">
      <c r="A547" s="4"/>
      <c r="B547" s="5" t="s">
        <v>1614</v>
      </c>
      <c r="C547" s="5" t="s">
        <v>1615</v>
      </c>
      <c r="D547" s="4" t="s">
        <v>46</v>
      </c>
      <c r="E547" s="5" t="s">
        <v>1616</v>
      </c>
      <c r="F547" s="4" t="s">
        <v>191</v>
      </c>
      <c r="G547" s="5"/>
      <c r="H547" s="4" t="s">
        <v>616</v>
      </c>
    </row>
    <row r="548" spans="1:9" x14ac:dyDescent="0.55000000000000004">
      <c r="A548" s="4"/>
      <c r="B548" s="5" t="s">
        <v>1617</v>
      </c>
      <c r="C548" s="5" t="s">
        <v>1618</v>
      </c>
      <c r="D548" s="4" t="s">
        <v>46</v>
      </c>
      <c r="E548" s="5" t="s">
        <v>1619</v>
      </c>
      <c r="F548" s="4" t="s">
        <v>191</v>
      </c>
      <c r="G548" s="5"/>
      <c r="H548" s="4" t="s">
        <v>616</v>
      </c>
    </row>
    <row r="549" spans="1:9" x14ac:dyDescent="0.55000000000000004">
      <c r="A549" s="4"/>
      <c r="B549" s="5" t="s">
        <v>1620</v>
      </c>
      <c r="C549" s="5" t="s">
        <v>1621</v>
      </c>
      <c r="D549" s="4" t="s">
        <v>13</v>
      </c>
      <c r="E549" s="5" t="s">
        <v>1622</v>
      </c>
      <c r="F549" s="4" t="s">
        <v>191</v>
      </c>
      <c r="G549" s="5"/>
      <c r="H549" s="4" t="s">
        <v>616</v>
      </c>
      <c r="I549" s="2" t="s">
        <v>1623</v>
      </c>
    </row>
    <row r="550" spans="1:9" x14ac:dyDescent="0.55000000000000004">
      <c r="A550" s="4"/>
      <c r="B550" s="5" t="s">
        <v>1624</v>
      </c>
      <c r="C550" s="5" t="s">
        <v>1625</v>
      </c>
      <c r="D550" s="4" t="s">
        <v>46</v>
      </c>
      <c r="E550" s="5" t="s">
        <v>1626</v>
      </c>
      <c r="F550" s="4" t="s">
        <v>191</v>
      </c>
      <c r="G550" s="5"/>
      <c r="H550" s="4" t="s">
        <v>616</v>
      </c>
    </row>
    <row r="551" spans="1:9" x14ac:dyDescent="0.55000000000000004">
      <c r="A551" s="4"/>
      <c r="B551" s="5" t="s">
        <v>1627</v>
      </c>
      <c r="C551" s="5" t="s">
        <v>1628</v>
      </c>
      <c r="D551" s="4" t="s">
        <v>46</v>
      </c>
      <c r="E551" s="5" t="s">
        <v>1629</v>
      </c>
      <c r="F551" s="4" t="s">
        <v>68</v>
      </c>
      <c r="G551" s="5" t="s">
        <v>1630</v>
      </c>
      <c r="H551" s="4" t="s">
        <v>39</v>
      </c>
    </row>
    <row r="552" spans="1:9" x14ac:dyDescent="0.55000000000000004">
      <c r="A552" s="4"/>
      <c r="B552" s="5" t="s">
        <v>1631</v>
      </c>
      <c r="C552" s="5" t="s">
        <v>1632</v>
      </c>
      <c r="D552" s="4" t="s">
        <v>13</v>
      </c>
      <c r="E552" s="5" t="s">
        <v>1633</v>
      </c>
      <c r="F552" s="4" t="s">
        <v>68</v>
      </c>
      <c r="G552" s="5" t="s">
        <v>1630</v>
      </c>
      <c r="H552" s="4"/>
      <c r="I552" s="2" t="s">
        <v>1634</v>
      </c>
    </row>
    <row r="553" spans="1:9" x14ac:dyDescent="0.55000000000000004">
      <c r="A553" s="4">
        <v>28</v>
      </c>
      <c r="B553" s="5" t="s">
        <v>1635</v>
      </c>
      <c r="C553" s="5" t="s">
        <v>1636</v>
      </c>
      <c r="D553" s="4" t="s">
        <v>46</v>
      </c>
      <c r="E553" s="5" t="s">
        <v>1637</v>
      </c>
      <c r="F553" s="4" t="s">
        <v>28</v>
      </c>
      <c r="G553" s="5" t="s">
        <v>1638</v>
      </c>
      <c r="H553" s="4" t="s">
        <v>24</v>
      </c>
    </row>
    <row r="554" spans="1:9" x14ac:dyDescent="0.55000000000000004">
      <c r="A554" s="4"/>
      <c r="B554" s="5" t="s">
        <v>1639</v>
      </c>
      <c r="C554" s="5" t="s">
        <v>1640</v>
      </c>
      <c r="D554" s="4" t="s">
        <v>13</v>
      </c>
      <c r="E554" s="5" t="s">
        <v>1641</v>
      </c>
      <c r="F554" s="4"/>
      <c r="G554" s="5"/>
      <c r="H554" s="4"/>
    </row>
    <row r="555" spans="1:9" x14ac:dyDescent="0.55000000000000004">
      <c r="A555" s="4"/>
      <c r="B555" s="5" t="s">
        <v>1642</v>
      </c>
      <c r="C555" s="5" t="s">
        <v>1643</v>
      </c>
      <c r="D555" s="4" t="s">
        <v>46</v>
      </c>
      <c r="E555" s="5" t="s">
        <v>1644</v>
      </c>
      <c r="F555" s="4" t="s">
        <v>240</v>
      </c>
      <c r="G555" s="5"/>
      <c r="H555" s="4" t="s">
        <v>1252</v>
      </c>
    </row>
    <row r="556" spans="1:9" x14ac:dyDescent="0.55000000000000004">
      <c r="A556" s="4"/>
      <c r="B556" s="5" t="s">
        <v>44</v>
      </c>
      <c r="C556" s="5" t="s">
        <v>1645</v>
      </c>
      <c r="D556" s="4" t="s">
        <v>21</v>
      </c>
      <c r="E556" s="5" t="s">
        <v>1646</v>
      </c>
      <c r="F556" s="4" t="s">
        <v>251</v>
      </c>
      <c r="G556" s="5" t="s">
        <v>252</v>
      </c>
      <c r="H556" s="4" t="s">
        <v>44</v>
      </c>
    </row>
    <row r="557" spans="1:9" x14ac:dyDescent="0.55000000000000004">
      <c r="A557" s="4"/>
      <c r="B557" s="5" t="s">
        <v>1647</v>
      </c>
      <c r="C557" s="5" t="s">
        <v>1648</v>
      </c>
      <c r="D557" s="4" t="s">
        <v>21</v>
      </c>
      <c r="E557" s="5" t="s">
        <v>1649</v>
      </c>
      <c r="F557" s="4" t="s">
        <v>251</v>
      </c>
      <c r="G557" s="5" t="s">
        <v>1650</v>
      </c>
      <c r="H557" s="4" t="s">
        <v>44</v>
      </c>
    </row>
    <row r="558" spans="1:9" x14ac:dyDescent="0.55000000000000004">
      <c r="A558" s="4"/>
      <c r="B558" s="5" t="s">
        <v>1651</v>
      </c>
      <c r="C558" s="5" t="s">
        <v>1652</v>
      </c>
      <c r="D558" s="4" t="s">
        <v>21</v>
      </c>
      <c r="E558" s="5" t="s">
        <v>1653</v>
      </c>
      <c r="F558" s="4" t="s">
        <v>1654</v>
      </c>
      <c r="G558" s="5" t="s">
        <v>1650</v>
      </c>
      <c r="H558" s="4" t="s">
        <v>44</v>
      </c>
    </row>
    <row r="559" spans="1:9" x14ac:dyDescent="0.55000000000000004">
      <c r="A559" s="4"/>
      <c r="B559" s="5" t="s">
        <v>1655</v>
      </c>
      <c r="C559" s="5" t="s">
        <v>1656</v>
      </c>
      <c r="D559" s="4" t="s">
        <v>13</v>
      </c>
      <c r="E559" s="5" t="s">
        <v>1657</v>
      </c>
      <c r="F559" s="4"/>
      <c r="G559" s="5"/>
      <c r="H559" s="4" t="s">
        <v>24</v>
      </c>
    </row>
    <row r="560" spans="1:9" x14ac:dyDescent="0.55000000000000004">
      <c r="A560" s="4"/>
      <c r="B560" s="5" t="s">
        <v>1658</v>
      </c>
      <c r="C560" s="5" t="s">
        <v>1659</v>
      </c>
      <c r="D560" s="4" t="s">
        <v>111</v>
      </c>
      <c r="E560" s="5" t="s">
        <v>1660</v>
      </c>
      <c r="F560" s="4"/>
      <c r="G560" s="5" t="s">
        <v>1661</v>
      </c>
      <c r="H560" s="4" t="s">
        <v>24</v>
      </c>
    </row>
    <row r="561" spans="1:9" x14ac:dyDescent="0.55000000000000004">
      <c r="A561" s="4"/>
      <c r="B561" s="5" t="s">
        <v>1662</v>
      </c>
      <c r="C561" s="5" t="s">
        <v>1663</v>
      </c>
      <c r="D561" s="4" t="s">
        <v>46</v>
      </c>
      <c r="E561" s="5" t="s">
        <v>1664</v>
      </c>
      <c r="F561" s="4"/>
      <c r="G561" s="5" t="s">
        <v>1665</v>
      </c>
      <c r="H561" s="4" t="s">
        <v>24</v>
      </c>
    </row>
    <row r="562" spans="1:9" x14ac:dyDescent="0.55000000000000004">
      <c r="A562" s="4"/>
      <c r="B562" s="5" t="s">
        <v>370</v>
      </c>
      <c r="C562" s="5" t="s">
        <v>1666</v>
      </c>
      <c r="D562" s="4" t="s">
        <v>46</v>
      </c>
      <c r="E562" s="5" t="s">
        <v>1667</v>
      </c>
      <c r="F562" s="4" t="s">
        <v>240</v>
      </c>
      <c r="G562" s="5"/>
      <c r="H562" s="4" t="s">
        <v>370</v>
      </c>
    </row>
    <row r="563" spans="1:9" x14ac:dyDescent="0.55000000000000004">
      <c r="A563" s="4"/>
      <c r="B563" s="5" t="s">
        <v>1668</v>
      </c>
      <c r="C563" s="5" t="s">
        <v>1669</v>
      </c>
      <c r="D563" s="4" t="s">
        <v>13</v>
      </c>
      <c r="E563" s="5" t="s">
        <v>1670</v>
      </c>
      <c r="F563" s="4" t="s">
        <v>240</v>
      </c>
      <c r="G563" s="5"/>
      <c r="H563" s="4" t="s">
        <v>370</v>
      </c>
    </row>
    <row r="564" spans="1:9" x14ac:dyDescent="0.55000000000000004">
      <c r="A564" s="4"/>
      <c r="B564" s="5" t="s">
        <v>1671</v>
      </c>
      <c r="C564" s="5" t="s">
        <v>1672</v>
      </c>
      <c r="D564" s="4" t="s">
        <v>13</v>
      </c>
      <c r="E564" s="5" t="s">
        <v>1673</v>
      </c>
      <c r="F564" s="4" t="s">
        <v>240</v>
      </c>
      <c r="G564" s="5"/>
      <c r="H564" s="4"/>
    </row>
    <row r="565" spans="1:9" x14ac:dyDescent="0.55000000000000004">
      <c r="A565" s="4">
        <v>79</v>
      </c>
      <c r="B565" s="5" t="s">
        <v>1674</v>
      </c>
      <c r="C565" s="5" t="s">
        <v>1675</v>
      </c>
      <c r="D565" s="4" t="s">
        <v>13</v>
      </c>
      <c r="E565" s="5" t="s">
        <v>1676</v>
      </c>
      <c r="F565" s="4" t="s">
        <v>28</v>
      </c>
      <c r="G565" s="5"/>
      <c r="H565" s="4" t="s">
        <v>1677</v>
      </c>
    </row>
    <row r="566" spans="1:9" x14ac:dyDescent="0.55000000000000004">
      <c r="A566" s="4"/>
      <c r="B566" s="5" t="s">
        <v>1678</v>
      </c>
      <c r="C566" s="5" t="s">
        <v>1679</v>
      </c>
      <c r="D566" s="4" t="s">
        <v>21</v>
      </c>
      <c r="E566" s="5" t="s">
        <v>1680</v>
      </c>
      <c r="F566" s="4"/>
      <c r="G566" s="5" t="s">
        <v>1681</v>
      </c>
      <c r="H566" s="4" t="s">
        <v>24</v>
      </c>
    </row>
    <row r="567" spans="1:9" x14ac:dyDescent="0.55000000000000004">
      <c r="A567" s="4"/>
      <c r="B567" s="5" t="s">
        <v>1682</v>
      </c>
      <c r="C567" s="5" t="s">
        <v>1683</v>
      </c>
      <c r="D567" s="4" t="s">
        <v>13</v>
      </c>
      <c r="E567" s="5" t="s">
        <v>1684</v>
      </c>
      <c r="F567" s="4" t="s">
        <v>251</v>
      </c>
      <c r="G567" s="5" t="s">
        <v>1685</v>
      </c>
      <c r="H567" s="4" t="s">
        <v>616</v>
      </c>
    </row>
    <row r="568" spans="1:9" x14ac:dyDescent="0.55000000000000004">
      <c r="A568" s="4">
        <v>1</v>
      </c>
      <c r="B568" s="5" t="s">
        <v>1686</v>
      </c>
      <c r="C568" s="5" t="s">
        <v>1687</v>
      </c>
      <c r="D568" s="4" t="s">
        <v>21</v>
      </c>
      <c r="E568" s="5" t="s">
        <v>1688</v>
      </c>
      <c r="F568" s="4" t="s">
        <v>28</v>
      </c>
      <c r="G568" s="5" t="s">
        <v>1689</v>
      </c>
      <c r="H568" s="4" t="s">
        <v>1686</v>
      </c>
    </row>
    <row r="569" spans="1:9" x14ac:dyDescent="0.55000000000000004">
      <c r="A569" s="4">
        <v>53</v>
      </c>
      <c r="B569" s="5" t="s">
        <v>1690</v>
      </c>
      <c r="C569" s="5" t="s">
        <v>1691</v>
      </c>
      <c r="D569" s="4" t="s">
        <v>13</v>
      </c>
      <c r="E569" s="5" t="s">
        <v>1692</v>
      </c>
      <c r="F569" s="4" t="s">
        <v>28</v>
      </c>
      <c r="G569" s="5"/>
      <c r="H569" s="19" t="s">
        <v>1693</v>
      </c>
    </row>
    <row r="570" spans="1:9" x14ac:dyDescent="0.55000000000000004">
      <c r="A570" s="4">
        <v>53.1</v>
      </c>
      <c r="B570" s="5" t="s">
        <v>1694</v>
      </c>
      <c r="C570" s="5" t="s">
        <v>1695</v>
      </c>
      <c r="D570" s="4" t="s">
        <v>1696</v>
      </c>
      <c r="E570" s="5" t="s">
        <v>1697</v>
      </c>
      <c r="F570" s="4" t="s">
        <v>28</v>
      </c>
      <c r="G570" s="5"/>
      <c r="H570" s="19" t="s">
        <v>1693</v>
      </c>
      <c r="I570" s="2" t="s">
        <v>1698</v>
      </c>
    </row>
    <row r="571" spans="1:9" x14ac:dyDescent="0.55000000000000004">
      <c r="A571" s="4"/>
      <c r="B571" s="5" t="s">
        <v>1699</v>
      </c>
      <c r="C571" s="5" t="s">
        <v>1700</v>
      </c>
      <c r="D571" s="4" t="s">
        <v>21</v>
      </c>
      <c r="E571" s="5" t="s">
        <v>1701</v>
      </c>
      <c r="F571" s="4" t="s">
        <v>39</v>
      </c>
      <c r="G571" s="5"/>
      <c r="H571" s="19" t="s">
        <v>39</v>
      </c>
    </row>
    <row r="572" spans="1:9" x14ac:dyDescent="0.55000000000000004">
      <c r="A572" s="4">
        <v>43</v>
      </c>
      <c r="B572" s="5" t="s">
        <v>1702</v>
      </c>
      <c r="C572" s="5" t="s">
        <v>1703</v>
      </c>
      <c r="D572" s="4" t="s">
        <v>21</v>
      </c>
      <c r="E572" s="5" t="s">
        <v>1704</v>
      </c>
      <c r="F572" s="4" t="s">
        <v>28</v>
      </c>
      <c r="G572" s="5"/>
      <c r="H572" s="4" t="s">
        <v>1313</v>
      </c>
    </row>
    <row r="573" spans="1:9" x14ac:dyDescent="0.55000000000000004">
      <c r="A573" s="4">
        <v>43</v>
      </c>
      <c r="B573" s="5" t="s">
        <v>1705</v>
      </c>
      <c r="C573" s="5" t="s">
        <v>1706</v>
      </c>
      <c r="D573" s="4" t="s">
        <v>46</v>
      </c>
      <c r="E573" s="5" t="s">
        <v>1707</v>
      </c>
      <c r="F573" s="4" t="s">
        <v>28</v>
      </c>
      <c r="G573" s="5"/>
      <c r="H573" s="4" t="s">
        <v>1313</v>
      </c>
    </row>
    <row r="574" spans="1:9" x14ac:dyDescent="0.55000000000000004">
      <c r="A574" s="4">
        <v>17</v>
      </c>
      <c r="B574" s="5" t="s">
        <v>1708</v>
      </c>
      <c r="C574" s="5" t="s">
        <v>1709</v>
      </c>
      <c r="D574" s="4" t="s">
        <v>13</v>
      </c>
      <c r="E574" s="5" t="s">
        <v>1710</v>
      </c>
      <c r="F574" s="4" t="s">
        <v>28</v>
      </c>
      <c r="G574" s="5" t="s">
        <v>1711</v>
      </c>
      <c r="H574" s="4" t="s">
        <v>1708</v>
      </c>
    </row>
    <row r="575" spans="1:9" x14ac:dyDescent="0.55000000000000004">
      <c r="A575" s="4">
        <v>17</v>
      </c>
      <c r="B575" s="5" t="s">
        <v>1712</v>
      </c>
      <c r="C575" s="5" t="s">
        <v>1713</v>
      </c>
      <c r="D575" s="4" t="s">
        <v>46</v>
      </c>
      <c r="E575" s="5" t="s">
        <v>1714</v>
      </c>
      <c r="F575" s="4" t="s">
        <v>28</v>
      </c>
      <c r="G575" s="5" t="s">
        <v>1711</v>
      </c>
      <c r="H575" s="4" t="s">
        <v>1708</v>
      </c>
      <c r="I575" s="2" t="s">
        <v>1715</v>
      </c>
    </row>
    <row r="576" spans="1:9" x14ac:dyDescent="0.55000000000000004">
      <c r="A576" s="4"/>
      <c r="B576" s="5" t="s">
        <v>1716</v>
      </c>
      <c r="C576" s="5" t="s">
        <v>1716</v>
      </c>
      <c r="D576" s="4" t="s">
        <v>21</v>
      </c>
      <c r="E576" s="5" t="s">
        <v>1717</v>
      </c>
      <c r="F576" s="4" t="s">
        <v>128</v>
      </c>
      <c r="G576" s="5"/>
      <c r="H576" s="4" t="s">
        <v>144</v>
      </c>
    </row>
    <row r="577" spans="1:9" x14ac:dyDescent="0.55000000000000004">
      <c r="A577" s="4"/>
      <c r="B577" s="5" t="s">
        <v>1718</v>
      </c>
      <c r="C577" s="5" t="s">
        <v>1719</v>
      </c>
      <c r="D577" s="4" t="s">
        <v>13</v>
      </c>
      <c r="E577" s="5" t="s">
        <v>1720</v>
      </c>
      <c r="F577" s="4" t="s">
        <v>251</v>
      </c>
      <c r="G577" s="5" t="s">
        <v>252</v>
      </c>
      <c r="H577" s="4" t="s">
        <v>616</v>
      </c>
    </row>
    <row r="578" spans="1:9" x14ac:dyDescent="0.55000000000000004">
      <c r="A578" s="4"/>
      <c r="B578" s="5" t="s">
        <v>1721</v>
      </c>
      <c r="C578" s="5" t="s">
        <v>1722</v>
      </c>
      <c r="D578" s="4" t="s">
        <v>13</v>
      </c>
      <c r="E578" s="5" t="s">
        <v>1723</v>
      </c>
      <c r="F578" s="4" t="s">
        <v>240</v>
      </c>
      <c r="G578" s="5"/>
      <c r="H578" s="4" t="s">
        <v>1721</v>
      </c>
    </row>
    <row r="579" spans="1:9" x14ac:dyDescent="0.55000000000000004">
      <c r="A579" s="4"/>
      <c r="B579" s="5" t="s">
        <v>1724</v>
      </c>
      <c r="C579" s="5" t="s">
        <v>1724</v>
      </c>
      <c r="D579" s="4" t="s">
        <v>111</v>
      </c>
      <c r="E579" s="5" t="s">
        <v>1725</v>
      </c>
      <c r="F579" s="4"/>
      <c r="G579" s="5" t="s">
        <v>1726</v>
      </c>
      <c r="H579" s="4" t="s">
        <v>144</v>
      </c>
    </row>
    <row r="580" spans="1:9" x14ac:dyDescent="0.55000000000000004">
      <c r="A580" s="4"/>
      <c r="B580" s="5" t="s">
        <v>1727</v>
      </c>
      <c r="C580" s="5" t="s">
        <v>1728</v>
      </c>
      <c r="D580" s="4" t="s">
        <v>1502</v>
      </c>
      <c r="E580" s="5" t="s">
        <v>1729</v>
      </c>
      <c r="F580" s="4" t="s">
        <v>422</v>
      </c>
      <c r="G580" s="5" t="s">
        <v>1730</v>
      </c>
      <c r="H580" s="4" t="s">
        <v>144</v>
      </c>
    </row>
    <row r="581" spans="1:9" x14ac:dyDescent="0.55000000000000004">
      <c r="A581" s="4">
        <v>29</v>
      </c>
      <c r="B581" s="5" t="s">
        <v>1731</v>
      </c>
      <c r="C581" s="5" t="s">
        <v>1732</v>
      </c>
      <c r="D581" s="4" t="s">
        <v>21</v>
      </c>
      <c r="E581" s="5" t="s">
        <v>1733</v>
      </c>
      <c r="F581" s="4" t="s">
        <v>28</v>
      </c>
      <c r="G581" s="5"/>
      <c r="H581" s="4" t="s">
        <v>24</v>
      </c>
    </row>
    <row r="582" spans="1:9" x14ac:dyDescent="0.55000000000000004">
      <c r="A582" s="4">
        <v>29</v>
      </c>
      <c r="B582" s="5" t="s">
        <v>1734</v>
      </c>
      <c r="C582" s="5" t="s">
        <v>1735</v>
      </c>
      <c r="D582" s="4" t="s">
        <v>13</v>
      </c>
      <c r="E582" s="5" t="s">
        <v>1736</v>
      </c>
      <c r="F582" s="4" t="s">
        <v>28</v>
      </c>
      <c r="G582" s="5"/>
      <c r="H582" s="4" t="s">
        <v>24</v>
      </c>
    </row>
    <row r="583" spans="1:9" x14ac:dyDescent="0.55000000000000004">
      <c r="A583" s="4">
        <v>50</v>
      </c>
      <c r="B583" s="5" t="s">
        <v>1737</v>
      </c>
      <c r="C583" s="5" t="s">
        <v>1735</v>
      </c>
      <c r="D583" s="4" t="s">
        <v>46</v>
      </c>
      <c r="E583" s="5" t="s">
        <v>1738</v>
      </c>
      <c r="F583" s="4" t="s">
        <v>28</v>
      </c>
      <c r="G583" s="5"/>
      <c r="H583" s="4" t="s">
        <v>24</v>
      </c>
    </row>
    <row r="584" spans="1:9" x14ac:dyDescent="0.55000000000000004">
      <c r="A584" s="4">
        <v>39</v>
      </c>
      <c r="B584" s="5" t="s">
        <v>1739</v>
      </c>
      <c r="C584" s="5" t="s">
        <v>1739</v>
      </c>
      <c r="D584" s="4" t="s">
        <v>21</v>
      </c>
      <c r="E584" s="5" t="s">
        <v>1740</v>
      </c>
      <c r="F584" s="4" t="s">
        <v>28</v>
      </c>
      <c r="G584" s="5"/>
      <c r="H584" s="4" t="s">
        <v>1739</v>
      </c>
    </row>
    <row r="585" spans="1:9" x14ac:dyDescent="0.55000000000000004">
      <c r="A585" s="4">
        <v>61</v>
      </c>
      <c r="B585" s="5" t="s">
        <v>1741</v>
      </c>
      <c r="C585" s="5" t="s">
        <v>1742</v>
      </c>
      <c r="D585" s="4" t="s">
        <v>13</v>
      </c>
      <c r="E585" s="5" t="s">
        <v>1743</v>
      </c>
      <c r="F585" s="4" t="s">
        <v>28</v>
      </c>
      <c r="G585" s="5"/>
      <c r="H585" s="4" t="s">
        <v>24</v>
      </c>
    </row>
    <row r="586" spans="1:9" x14ac:dyDescent="0.55000000000000004">
      <c r="A586" s="4">
        <v>48</v>
      </c>
      <c r="B586" s="5" t="s">
        <v>1744</v>
      </c>
      <c r="C586" s="5" t="s">
        <v>1745</v>
      </c>
      <c r="D586" s="4" t="s">
        <v>21</v>
      </c>
      <c r="E586" s="5" t="s">
        <v>1746</v>
      </c>
      <c r="F586" s="4" t="s">
        <v>28</v>
      </c>
      <c r="G586" s="5"/>
      <c r="H586" s="4" t="s">
        <v>1747</v>
      </c>
    </row>
    <row r="587" spans="1:9" x14ac:dyDescent="0.55000000000000004">
      <c r="A587" s="4">
        <v>48.1</v>
      </c>
      <c r="B587" s="5" t="s">
        <v>1748</v>
      </c>
      <c r="C587" s="5" t="s">
        <v>1749</v>
      </c>
      <c r="D587" s="4" t="s">
        <v>13</v>
      </c>
      <c r="E587" s="5" t="s">
        <v>1750</v>
      </c>
      <c r="F587" s="4" t="s">
        <v>28</v>
      </c>
      <c r="G587" s="5"/>
      <c r="H587" s="4" t="s">
        <v>1747</v>
      </c>
    </row>
    <row r="588" spans="1:9" x14ac:dyDescent="0.55000000000000004">
      <c r="A588" s="4"/>
      <c r="B588" s="5" t="s">
        <v>1751</v>
      </c>
      <c r="C588" s="5" t="s">
        <v>1752</v>
      </c>
      <c r="D588" s="4" t="s">
        <v>21</v>
      </c>
      <c r="E588" s="5" t="s">
        <v>1753</v>
      </c>
      <c r="F588" s="4" t="s">
        <v>28</v>
      </c>
      <c r="G588" s="5" t="s">
        <v>1754</v>
      </c>
      <c r="H588" s="4" t="s">
        <v>1755</v>
      </c>
    </row>
    <row r="589" spans="1:9" x14ac:dyDescent="0.55000000000000004">
      <c r="A589" s="4">
        <v>4</v>
      </c>
      <c r="B589" s="5" t="s">
        <v>1756</v>
      </c>
      <c r="C589" s="5" t="s">
        <v>1757</v>
      </c>
      <c r="D589" s="4" t="s">
        <v>13</v>
      </c>
      <c r="E589" s="5" t="s">
        <v>1758</v>
      </c>
      <c r="F589" s="4" t="s">
        <v>28</v>
      </c>
      <c r="G589" s="5" t="s">
        <v>1759</v>
      </c>
      <c r="H589" s="4" t="s">
        <v>1760</v>
      </c>
    </row>
    <row r="590" spans="1:9" x14ac:dyDescent="0.55000000000000004">
      <c r="A590" s="4">
        <v>4</v>
      </c>
      <c r="B590" s="5" t="s">
        <v>1761</v>
      </c>
      <c r="C590" s="5" t="s">
        <v>1762</v>
      </c>
      <c r="D590" s="4" t="s">
        <v>49</v>
      </c>
      <c r="E590" s="5" t="s">
        <v>1763</v>
      </c>
      <c r="F590" s="4" t="s">
        <v>28</v>
      </c>
      <c r="G590" s="5" t="s">
        <v>1759</v>
      </c>
      <c r="H590" s="4" t="s">
        <v>1760</v>
      </c>
    </row>
    <row r="591" spans="1:9" x14ac:dyDescent="0.55000000000000004">
      <c r="A591" s="4">
        <v>4</v>
      </c>
      <c r="B591" s="5" t="s">
        <v>1764</v>
      </c>
      <c r="C591" s="5" t="s">
        <v>1765</v>
      </c>
      <c r="D591" s="4" t="s">
        <v>13</v>
      </c>
      <c r="E591" s="5" t="s">
        <v>1766</v>
      </c>
      <c r="F591" s="4" t="s">
        <v>28</v>
      </c>
      <c r="G591" s="5" t="s">
        <v>1759</v>
      </c>
      <c r="H591" s="4" t="s">
        <v>1760</v>
      </c>
      <c r="I591" s="2" t="s">
        <v>1767</v>
      </c>
    </row>
    <row r="592" spans="1:9" x14ac:dyDescent="0.55000000000000004">
      <c r="A592" s="4">
        <v>82</v>
      </c>
      <c r="B592" s="5" t="s">
        <v>1768</v>
      </c>
      <c r="C592" s="5" t="s">
        <v>1769</v>
      </c>
      <c r="D592" s="4" t="s">
        <v>372</v>
      </c>
      <c r="E592" s="5" t="s">
        <v>1770</v>
      </c>
      <c r="F592" s="4" t="s">
        <v>28</v>
      </c>
      <c r="G592" s="5"/>
      <c r="H592" s="4" t="s">
        <v>24</v>
      </c>
    </row>
    <row r="593" spans="1:9" x14ac:dyDescent="0.55000000000000004">
      <c r="A593" s="4">
        <v>57</v>
      </c>
      <c r="B593" s="5" t="s">
        <v>1771</v>
      </c>
      <c r="C593" s="5" t="s">
        <v>1772</v>
      </c>
      <c r="D593" s="4" t="s">
        <v>21</v>
      </c>
      <c r="E593" s="5" t="s">
        <v>1773</v>
      </c>
      <c r="F593" s="4" t="s">
        <v>28</v>
      </c>
      <c r="G593" s="5"/>
      <c r="H593" s="4" t="s">
        <v>1774</v>
      </c>
    </row>
    <row r="594" spans="1:9" x14ac:dyDescent="0.55000000000000004">
      <c r="A594" s="4">
        <v>64</v>
      </c>
      <c r="B594" s="5" t="s">
        <v>1775</v>
      </c>
      <c r="C594" s="5" t="s">
        <v>1776</v>
      </c>
      <c r="D594" s="4" t="s">
        <v>46</v>
      </c>
      <c r="E594" s="5" t="s">
        <v>1777</v>
      </c>
      <c r="F594" s="4" t="s">
        <v>28</v>
      </c>
      <c r="G594" s="5"/>
      <c r="H594" s="4" t="s">
        <v>1775</v>
      </c>
    </row>
    <row r="595" spans="1:9" x14ac:dyDescent="0.55000000000000004">
      <c r="A595" s="4"/>
      <c r="B595" s="5" t="s">
        <v>1778</v>
      </c>
      <c r="C595" s="5" t="s">
        <v>1778</v>
      </c>
      <c r="D595" s="4" t="s">
        <v>1502</v>
      </c>
      <c r="E595" s="4" t="s">
        <v>1503</v>
      </c>
      <c r="F595" s="4" t="s">
        <v>422</v>
      </c>
      <c r="G595" s="5"/>
      <c r="H595" s="4"/>
    </row>
    <row r="596" spans="1:9" x14ac:dyDescent="0.55000000000000004">
      <c r="A596" s="4"/>
      <c r="B596" s="5" t="s">
        <v>1779</v>
      </c>
      <c r="C596" s="5" t="s">
        <v>1780</v>
      </c>
      <c r="D596" s="4" t="s">
        <v>46</v>
      </c>
      <c r="E596" s="5" t="s">
        <v>1781</v>
      </c>
      <c r="F596" s="4" t="s">
        <v>39</v>
      </c>
      <c r="G596" s="5" t="s">
        <v>1782</v>
      </c>
      <c r="H596" s="4" t="s">
        <v>370</v>
      </c>
    </row>
    <row r="597" spans="1:9" x14ac:dyDescent="0.55000000000000004">
      <c r="A597" s="4"/>
      <c r="B597" s="5" t="s">
        <v>1783</v>
      </c>
      <c r="C597" s="5" t="s">
        <v>1784</v>
      </c>
      <c r="D597" s="4" t="s">
        <v>13</v>
      </c>
      <c r="E597" s="5" t="s">
        <v>1785</v>
      </c>
      <c r="F597" s="4" t="s">
        <v>39</v>
      </c>
      <c r="G597" s="5" t="s">
        <v>1782</v>
      </c>
      <c r="H597" s="4" t="s">
        <v>370</v>
      </c>
    </row>
    <row r="598" spans="1:9" x14ac:dyDescent="0.55000000000000004">
      <c r="A598" s="4"/>
      <c r="B598" s="5" t="s">
        <v>1786</v>
      </c>
      <c r="C598" s="5" t="s">
        <v>1787</v>
      </c>
      <c r="D598" s="4" t="s">
        <v>132</v>
      </c>
      <c r="E598" s="5" t="s">
        <v>1788</v>
      </c>
      <c r="F598" s="4" t="s">
        <v>39</v>
      </c>
      <c r="G598" s="5" t="s">
        <v>1782</v>
      </c>
      <c r="H598" s="4" t="s">
        <v>370</v>
      </c>
    </row>
    <row r="599" spans="1:9" x14ac:dyDescent="0.55000000000000004">
      <c r="A599" s="4"/>
      <c r="B599" s="5" t="s">
        <v>1789</v>
      </c>
      <c r="C599" s="5" t="s">
        <v>1790</v>
      </c>
      <c r="D599" s="4" t="s">
        <v>46</v>
      </c>
      <c r="E599" s="5" t="s">
        <v>598</v>
      </c>
      <c r="F599" s="4" t="s">
        <v>39</v>
      </c>
      <c r="G599" s="5"/>
      <c r="H599" s="4" t="s">
        <v>370</v>
      </c>
    </row>
    <row r="600" spans="1:9" x14ac:dyDescent="0.55000000000000004">
      <c r="A600" s="4">
        <v>58</v>
      </c>
      <c r="B600" s="5" t="s">
        <v>1791</v>
      </c>
      <c r="C600" s="5" t="s">
        <v>1792</v>
      </c>
      <c r="D600" s="4" t="s">
        <v>21</v>
      </c>
      <c r="E600" s="5" t="s">
        <v>1793</v>
      </c>
      <c r="F600" s="4" t="s">
        <v>28</v>
      </c>
      <c r="G600" s="5"/>
      <c r="H600" s="4" t="s">
        <v>1794</v>
      </c>
    </row>
    <row r="601" spans="1:9" x14ac:dyDescent="0.55000000000000004">
      <c r="A601" s="4">
        <v>2</v>
      </c>
      <c r="B601" s="5" t="s">
        <v>1795</v>
      </c>
      <c r="C601" s="5" t="s">
        <v>1796</v>
      </c>
      <c r="D601" s="4" t="s">
        <v>42</v>
      </c>
      <c r="E601" s="5" t="s">
        <v>1797</v>
      </c>
      <c r="F601" s="4" t="s">
        <v>28</v>
      </c>
      <c r="G601" s="5" t="s">
        <v>1798</v>
      </c>
      <c r="H601" s="4" t="s">
        <v>1799</v>
      </c>
    </row>
    <row r="602" spans="1:9" x14ac:dyDescent="0.55000000000000004">
      <c r="A602" s="4"/>
      <c r="B602" s="5" t="s">
        <v>1800</v>
      </c>
      <c r="C602" s="5" t="s">
        <v>1801</v>
      </c>
      <c r="D602" s="4" t="s">
        <v>13</v>
      </c>
      <c r="E602" s="5" t="s">
        <v>1802</v>
      </c>
      <c r="F602" s="4" t="s">
        <v>23</v>
      </c>
      <c r="G602" s="5"/>
      <c r="H602" s="4" t="s">
        <v>24</v>
      </c>
    </row>
    <row r="603" spans="1:9" x14ac:dyDescent="0.55000000000000004">
      <c r="A603" s="4"/>
      <c r="B603" s="5" t="s">
        <v>1803</v>
      </c>
      <c r="C603" s="5" t="s">
        <v>1804</v>
      </c>
      <c r="D603" s="4" t="s">
        <v>21</v>
      </c>
      <c r="E603" s="5" t="s">
        <v>1805</v>
      </c>
      <c r="F603" s="4" t="s">
        <v>23</v>
      </c>
      <c r="G603" s="5"/>
      <c r="H603" s="4" t="s">
        <v>24</v>
      </c>
    </row>
    <row r="604" spans="1:9" x14ac:dyDescent="0.55000000000000004">
      <c r="A604" s="4">
        <v>13</v>
      </c>
      <c r="B604" s="5" t="s">
        <v>1806</v>
      </c>
      <c r="C604" s="5" t="s">
        <v>1807</v>
      </c>
      <c r="D604" s="4" t="s">
        <v>21</v>
      </c>
      <c r="E604" s="5" t="s">
        <v>1808</v>
      </c>
      <c r="F604" s="4" t="s">
        <v>28</v>
      </c>
      <c r="G604" s="5" t="s">
        <v>1809</v>
      </c>
      <c r="H604" s="4" t="s">
        <v>1810</v>
      </c>
      <c r="I604" s="2" t="s">
        <v>1811</v>
      </c>
    </row>
    <row r="605" spans="1:9" x14ac:dyDescent="0.55000000000000004">
      <c r="A605" s="4">
        <v>13</v>
      </c>
      <c r="B605" s="5" t="s">
        <v>1812</v>
      </c>
      <c r="C605" s="5" t="s">
        <v>1813</v>
      </c>
      <c r="D605" s="4" t="s">
        <v>46</v>
      </c>
      <c r="E605" s="5" t="s">
        <v>1814</v>
      </c>
      <c r="F605" s="4" t="s">
        <v>28</v>
      </c>
      <c r="G605" s="5" t="s">
        <v>1809</v>
      </c>
      <c r="H605" s="4" t="s">
        <v>1810</v>
      </c>
      <c r="I605" s="2" t="s">
        <v>1815</v>
      </c>
    </row>
    <row r="606" spans="1:9" x14ac:dyDescent="0.55000000000000004">
      <c r="A606" s="4"/>
      <c r="B606" s="5" t="s">
        <v>1816</v>
      </c>
      <c r="C606" s="5" t="s">
        <v>1817</v>
      </c>
      <c r="D606" s="4" t="s">
        <v>21</v>
      </c>
      <c r="E606" s="5" t="s">
        <v>1818</v>
      </c>
      <c r="F606" s="4" t="s">
        <v>39</v>
      </c>
      <c r="G606" s="5"/>
      <c r="H606" s="4" t="s">
        <v>39</v>
      </c>
    </row>
    <row r="607" spans="1:9" x14ac:dyDescent="0.55000000000000004">
      <c r="A607" s="4"/>
      <c r="B607" s="5" t="s">
        <v>1819</v>
      </c>
      <c r="C607" s="5" t="s">
        <v>1820</v>
      </c>
      <c r="D607" s="4" t="s">
        <v>21</v>
      </c>
      <c r="E607" s="5" t="s">
        <v>1821</v>
      </c>
      <c r="F607" s="4" t="s">
        <v>39</v>
      </c>
      <c r="G607" s="5"/>
      <c r="H607" s="4" t="s">
        <v>39</v>
      </c>
    </row>
    <row r="608" spans="1:9" x14ac:dyDescent="0.55000000000000004">
      <c r="A608" s="4">
        <v>26</v>
      </c>
      <c r="B608" s="5" t="s">
        <v>1822</v>
      </c>
      <c r="C608" s="5" t="s">
        <v>1823</v>
      </c>
      <c r="D608" s="4" t="s">
        <v>46</v>
      </c>
      <c r="E608" s="5" t="s">
        <v>1824</v>
      </c>
      <c r="F608" s="4" t="s">
        <v>28</v>
      </c>
      <c r="G608" s="5" t="s">
        <v>1825</v>
      </c>
      <c r="H608" s="4" t="s">
        <v>1826</v>
      </c>
    </row>
    <row r="609" spans="1:9" x14ac:dyDescent="0.55000000000000004">
      <c r="A609" s="4"/>
      <c r="B609" s="5" t="s">
        <v>1827</v>
      </c>
      <c r="C609" s="5" t="s">
        <v>1828</v>
      </c>
      <c r="D609" s="4" t="s">
        <v>46</v>
      </c>
      <c r="E609" s="5" t="s">
        <v>598</v>
      </c>
      <c r="F609" s="4" t="s">
        <v>39</v>
      </c>
      <c r="G609" s="5" t="s">
        <v>1782</v>
      </c>
      <c r="H609" s="4" t="s">
        <v>370</v>
      </c>
    </row>
    <row r="610" spans="1:9" x14ac:dyDescent="0.55000000000000004">
      <c r="A610" s="4"/>
      <c r="B610" s="5" t="s">
        <v>1829</v>
      </c>
      <c r="C610" s="5" t="s">
        <v>1830</v>
      </c>
      <c r="D610" s="4" t="s">
        <v>46</v>
      </c>
      <c r="E610" s="5" t="s">
        <v>1831</v>
      </c>
      <c r="F610" s="4" t="s">
        <v>142</v>
      </c>
      <c r="G610" s="5" t="s">
        <v>1832</v>
      </c>
      <c r="H610" s="4" t="s">
        <v>24</v>
      </c>
    </row>
    <row r="611" spans="1:9" x14ac:dyDescent="0.55000000000000004">
      <c r="A611" s="4">
        <v>47</v>
      </c>
      <c r="B611" s="5" t="s">
        <v>1833</v>
      </c>
      <c r="C611" s="5" t="s">
        <v>1834</v>
      </c>
      <c r="D611" s="4" t="s">
        <v>49</v>
      </c>
      <c r="E611" s="5" t="s">
        <v>1835</v>
      </c>
      <c r="F611" s="4" t="s">
        <v>28</v>
      </c>
      <c r="G611" s="5"/>
      <c r="H611" s="4" t="s">
        <v>24</v>
      </c>
    </row>
    <row r="612" spans="1:9" x14ac:dyDescent="0.55000000000000004">
      <c r="A612" s="4">
        <v>63</v>
      </c>
      <c r="B612" s="5" t="s">
        <v>1836</v>
      </c>
      <c r="C612" s="5" t="s">
        <v>1837</v>
      </c>
      <c r="D612" s="4" t="s">
        <v>42</v>
      </c>
      <c r="E612" s="5" t="s">
        <v>1838</v>
      </c>
      <c r="F612" s="4" t="s">
        <v>28</v>
      </c>
      <c r="G612" s="5"/>
      <c r="H612" s="4" t="s">
        <v>39</v>
      </c>
    </row>
    <row r="613" spans="1:9" x14ac:dyDescent="0.55000000000000004">
      <c r="A613" s="4"/>
      <c r="B613" s="5" t="s">
        <v>1839</v>
      </c>
      <c r="C613" s="5" t="s">
        <v>1840</v>
      </c>
      <c r="D613" s="4" t="s">
        <v>49</v>
      </c>
      <c r="E613" s="5" t="s">
        <v>1841</v>
      </c>
      <c r="F613" s="4" t="s">
        <v>39</v>
      </c>
      <c r="G613" s="5"/>
      <c r="H613" s="4" t="s">
        <v>39</v>
      </c>
    </row>
    <row r="614" spans="1:9" x14ac:dyDescent="0.55000000000000004">
      <c r="A614" s="4">
        <v>42</v>
      </c>
      <c r="B614" s="5" t="s">
        <v>1842</v>
      </c>
      <c r="C614" s="5" t="s">
        <v>1843</v>
      </c>
      <c r="D614" s="4" t="s">
        <v>21</v>
      </c>
      <c r="E614" s="5" t="s">
        <v>1844</v>
      </c>
      <c r="F614" s="4" t="s">
        <v>28</v>
      </c>
      <c r="G614" s="5"/>
      <c r="H614" s="4" t="s">
        <v>1845</v>
      </c>
    </row>
    <row r="615" spans="1:9" x14ac:dyDescent="0.55000000000000004">
      <c r="A615" s="4">
        <v>42</v>
      </c>
      <c r="B615" s="5" t="s">
        <v>1845</v>
      </c>
      <c r="C615" s="5" t="s">
        <v>1846</v>
      </c>
      <c r="D615" s="4" t="s">
        <v>21</v>
      </c>
      <c r="E615" s="5" t="s">
        <v>1847</v>
      </c>
      <c r="F615" s="4" t="s">
        <v>28</v>
      </c>
      <c r="G615" s="5"/>
      <c r="H615" s="4" t="s">
        <v>1845</v>
      </c>
    </row>
    <row r="616" spans="1:9" x14ac:dyDescent="0.55000000000000004">
      <c r="A616" s="4"/>
      <c r="B616" s="5" t="s">
        <v>1848</v>
      </c>
      <c r="C616" s="5" t="s">
        <v>1849</v>
      </c>
      <c r="D616" s="4" t="s">
        <v>46</v>
      </c>
      <c r="E616" s="5" t="s">
        <v>1850</v>
      </c>
      <c r="F616" s="4" t="s">
        <v>191</v>
      </c>
      <c r="G616" s="5"/>
      <c r="H616" s="4"/>
    </row>
    <row r="617" spans="1:9" x14ac:dyDescent="0.55000000000000004">
      <c r="A617" s="4"/>
      <c r="B617" s="5" t="s">
        <v>1851</v>
      </c>
      <c r="C617" s="5" t="s">
        <v>1852</v>
      </c>
      <c r="D617" s="4" t="s">
        <v>1853</v>
      </c>
      <c r="E617" s="5" t="s">
        <v>1854</v>
      </c>
      <c r="F617" s="4" t="s">
        <v>116</v>
      </c>
      <c r="G617" s="5" t="s">
        <v>1855</v>
      </c>
      <c r="H617" s="4" t="s">
        <v>24</v>
      </c>
    </row>
    <row r="618" spans="1:9" x14ac:dyDescent="0.55000000000000004">
      <c r="A618" s="4"/>
      <c r="B618" s="5" t="s">
        <v>1856</v>
      </c>
      <c r="C618" s="5" t="s">
        <v>1857</v>
      </c>
      <c r="D618" s="4" t="s">
        <v>1853</v>
      </c>
      <c r="E618" s="5" t="s">
        <v>1858</v>
      </c>
      <c r="F618" s="4" t="s">
        <v>116</v>
      </c>
      <c r="G618" s="5" t="s">
        <v>1855</v>
      </c>
      <c r="H618" s="4" t="s">
        <v>24</v>
      </c>
      <c r="I618" s="20">
        <v>45708</v>
      </c>
    </row>
    <row r="619" spans="1:9" x14ac:dyDescent="0.55000000000000004">
      <c r="A619" s="4"/>
      <c r="B619" s="5" t="s">
        <v>1859</v>
      </c>
      <c r="C619" s="5" t="s">
        <v>1860</v>
      </c>
      <c r="D619" s="4" t="s">
        <v>1853</v>
      </c>
      <c r="E619" s="5" t="s">
        <v>1861</v>
      </c>
      <c r="F619" s="4" t="s">
        <v>116</v>
      </c>
      <c r="G619" s="5" t="s">
        <v>1855</v>
      </c>
      <c r="H619" s="4" t="s">
        <v>24</v>
      </c>
      <c r="I619" s="20">
        <v>45764</v>
      </c>
    </row>
    <row r="620" spans="1:9" x14ac:dyDescent="0.55000000000000004">
      <c r="A620" s="4"/>
      <c r="B620" s="5" t="s">
        <v>1862</v>
      </c>
      <c r="C620" s="5" t="s">
        <v>1863</v>
      </c>
      <c r="D620" s="4" t="s">
        <v>372</v>
      </c>
      <c r="E620" s="5" t="s">
        <v>1864</v>
      </c>
      <c r="F620" s="4" t="s">
        <v>116</v>
      </c>
      <c r="G620" s="5" t="s">
        <v>1855</v>
      </c>
      <c r="H620" s="4" t="s">
        <v>24</v>
      </c>
      <c r="I620" s="20"/>
    </row>
    <row r="621" spans="1:9" x14ac:dyDescent="0.55000000000000004">
      <c r="A621" s="4"/>
      <c r="B621" s="5" t="s">
        <v>1865</v>
      </c>
      <c r="C621" s="5" t="s">
        <v>1866</v>
      </c>
      <c r="D621" s="4" t="s">
        <v>21</v>
      </c>
      <c r="E621" s="5" t="s">
        <v>1867</v>
      </c>
      <c r="F621" s="4" t="s">
        <v>39</v>
      </c>
      <c r="G621" s="5"/>
      <c r="H621" s="4" t="s">
        <v>39</v>
      </c>
    </row>
    <row r="622" spans="1:9" x14ac:dyDescent="0.55000000000000004">
      <c r="A622" s="4"/>
      <c r="B622" s="5" t="s">
        <v>1868</v>
      </c>
      <c r="C622" s="5" t="s">
        <v>1869</v>
      </c>
      <c r="D622" s="4" t="s">
        <v>13</v>
      </c>
      <c r="E622" s="5" t="s">
        <v>1870</v>
      </c>
      <c r="F622" s="4" t="s">
        <v>259</v>
      </c>
      <c r="G622" s="5"/>
      <c r="H622" s="4"/>
    </row>
    <row r="623" spans="1:9" x14ac:dyDescent="0.55000000000000004">
      <c r="A623" s="4"/>
      <c r="B623" s="5" t="s">
        <v>1871</v>
      </c>
      <c r="C623" s="5" t="s">
        <v>1872</v>
      </c>
      <c r="D623" s="4" t="s">
        <v>21</v>
      </c>
      <c r="E623" s="5" t="s">
        <v>1873</v>
      </c>
      <c r="F623" s="4" t="s">
        <v>39</v>
      </c>
      <c r="G623" s="5"/>
      <c r="H623" s="4" t="s">
        <v>39</v>
      </c>
    </row>
    <row r="624" spans="1:9" x14ac:dyDescent="0.55000000000000004">
      <c r="A624" s="4">
        <v>10</v>
      </c>
      <c r="B624" s="5" t="s">
        <v>1874</v>
      </c>
      <c r="C624" s="5" t="s">
        <v>1875</v>
      </c>
      <c r="D624" s="4" t="s">
        <v>46</v>
      </c>
      <c r="E624" s="5" t="s">
        <v>1876</v>
      </c>
      <c r="F624" s="4" t="s">
        <v>28</v>
      </c>
      <c r="G624" s="5" t="s">
        <v>1877</v>
      </c>
      <c r="H624" s="4" t="s">
        <v>259</v>
      </c>
    </row>
    <row r="625" spans="1:8" x14ac:dyDescent="0.55000000000000004">
      <c r="A625" s="4">
        <v>51</v>
      </c>
      <c r="B625" s="5" t="s">
        <v>1878</v>
      </c>
      <c r="C625" s="5" t="s">
        <v>1879</v>
      </c>
      <c r="D625" s="4" t="s">
        <v>132</v>
      </c>
      <c r="E625" s="5" t="s">
        <v>1880</v>
      </c>
      <c r="F625" s="4" t="s">
        <v>28</v>
      </c>
      <c r="G625" s="5" t="s">
        <v>1877</v>
      </c>
      <c r="H625" s="4" t="s">
        <v>1881</v>
      </c>
    </row>
    <row r="626" spans="1:8" x14ac:dyDescent="0.55000000000000004">
      <c r="A626" s="4"/>
      <c r="B626" s="5" t="s">
        <v>1882</v>
      </c>
      <c r="C626" s="5" t="s">
        <v>1882</v>
      </c>
      <c r="D626" s="4" t="s">
        <v>13</v>
      </c>
      <c r="E626" s="5" t="s">
        <v>1353</v>
      </c>
      <c r="F626" s="4" t="s">
        <v>39</v>
      </c>
      <c r="G626" s="5"/>
      <c r="H626" s="4" t="s">
        <v>39</v>
      </c>
    </row>
    <row r="627" spans="1:8" x14ac:dyDescent="0.55000000000000004">
      <c r="A627" s="4"/>
      <c r="B627" s="5" t="s">
        <v>1883</v>
      </c>
      <c r="C627" s="5" t="s">
        <v>1884</v>
      </c>
      <c r="D627" s="4" t="s">
        <v>21</v>
      </c>
      <c r="E627" s="5" t="s">
        <v>1885</v>
      </c>
      <c r="F627" s="4"/>
      <c r="G627" s="5"/>
      <c r="H627" s="4" t="s">
        <v>24</v>
      </c>
    </row>
    <row r="628" spans="1:8" x14ac:dyDescent="0.55000000000000004">
      <c r="A628" s="4"/>
      <c r="B628" s="5" t="s">
        <v>1886</v>
      </c>
      <c r="C628" s="5" t="s">
        <v>1887</v>
      </c>
      <c r="D628" s="4" t="s">
        <v>13</v>
      </c>
      <c r="E628" s="5" t="s">
        <v>1888</v>
      </c>
      <c r="F628" s="4" t="s">
        <v>39</v>
      </c>
      <c r="G628" s="5"/>
      <c r="H628" s="4" t="s">
        <v>39</v>
      </c>
    </row>
    <row r="629" spans="1:8" x14ac:dyDescent="0.55000000000000004">
      <c r="A629" s="4">
        <v>80</v>
      </c>
      <c r="B629" s="5" t="s">
        <v>1889</v>
      </c>
      <c r="C629" s="5" t="s">
        <v>1890</v>
      </c>
      <c r="D629" s="4" t="s">
        <v>111</v>
      </c>
      <c r="E629" s="5" t="s">
        <v>1891</v>
      </c>
      <c r="F629" s="4" t="s">
        <v>28</v>
      </c>
      <c r="G629" s="5"/>
      <c r="H629" s="4" t="s">
        <v>24</v>
      </c>
    </row>
    <row r="630" spans="1:8" x14ac:dyDescent="0.55000000000000004">
      <c r="A630" s="4">
        <v>80.099999999999994</v>
      </c>
      <c r="B630" s="5" t="s">
        <v>1892</v>
      </c>
      <c r="C630" s="5" t="s">
        <v>1893</v>
      </c>
      <c r="D630" s="4" t="s">
        <v>13</v>
      </c>
      <c r="E630" s="5" t="s">
        <v>1894</v>
      </c>
      <c r="F630" s="4" t="s">
        <v>28</v>
      </c>
      <c r="G630" s="5"/>
      <c r="H630" s="4" t="s">
        <v>24</v>
      </c>
    </row>
    <row r="631" spans="1:8" x14ac:dyDescent="0.55000000000000004">
      <c r="A631" s="4"/>
      <c r="B631" s="5" t="s">
        <v>1895</v>
      </c>
      <c r="C631" s="5" t="s">
        <v>1896</v>
      </c>
      <c r="D631" s="4" t="s">
        <v>21</v>
      </c>
      <c r="E631" s="5" t="s">
        <v>1897</v>
      </c>
      <c r="F631" s="4" t="s">
        <v>1898</v>
      </c>
      <c r="G631" s="5"/>
      <c r="H631" s="4" t="s">
        <v>24</v>
      </c>
    </row>
    <row r="632" spans="1:8" x14ac:dyDescent="0.55000000000000004">
      <c r="A632" s="4"/>
      <c r="B632" s="5" t="s">
        <v>1899</v>
      </c>
      <c r="C632" s="5" t="s">
        <v>1900</v>
      </c>
      <c r="D632" s="4" t="s">
        <v>13</v>
      </c>
      <c r="E632" s="5" t="s">
        <v>1901</v>
      </c>
      <c r="F632" s="4" t="s">
        <v>1898</v>
      </c>
      <c r="G632" s="5"/>
      <c r="H632" s="4" t="s">
        <v>24</v>
      </c>
    </row>
    <row r="633" spans="1:8" x14ac:dyDescent="0.55000000000000004">
      <c r="A633" s="4"/>
      <c r="B633" s="5" t="s">
        <v>1902</v>
      </c>
      <c r="C633" s="5" t="s">
        <v>1902</v>
      </c>
      <c r="D633" s="4" t="s">
        <v>132</v>
      </c>
      <c r="E633" s="5" t="s">
        <v>1903</v>
      </c>
      <c r="F633" s="4" t="s">
        <v>128</v>
      </c>
      <c r="G633" s="5" t="s">
        <v>1904</v>
      </c>
      <c r="H633" s="4" t="s">
        <v>144</v>
      </c>
    </row>
    <row r="634" spans="1:8" x14ac:dyDescent="0.55000000000000004">
      <c r="A634" s="4"/>
      <c r="B634" s="5" t="s">
        <v>1905</v>
      </c>
      <c r="C634" s="5" t="s">
        <v>1905</v>
      </c>
      <c r="D634" s="4" t="s">
        <v>21</v>
      </c>
      <c r="E634" s="5" t="s">
        <v>1906</v>
      </c>
      <c r="F634" s="4"/>
      <c r="G634" s="5" t="s">
        <v>1904</v>
      </c>
      <c r="H634" s="4" t="s">
        <v>144</v>
      </c>
    </row>
    <row r="635" spans="1:8" x14ac:dyDescent="0.55000000000000004">
      <c r="A635" s="4"/>
      <c r="B635" s="17" t="s">
        <v>1907</v>
      </c>
      <c r="C635" s="17" t="s">
        <v>1908</v>
      </c>
      <c r="D635" s="18" t="s">
        <v>42</v>
      </c>
      <c r="E635" s="17" t="s">
        <v>1909</v>
      </c>
      <c r="F635" s="18" t="s">
        <v>191</v>
      </c>
      <c r="G635" s="17"/>
      <c r="H635" s="18" t="s">
        <v>1881</v>
      </c>
    </row>
    <row r="636" spans="1:8" x14ac:dyDescent="0.55000000000000004">
      <c r="A636" s="4"/>
      <c r="B636" s="17" t="s">
        <v>1910</v>
      </c>
      <c r="C636" s="17" t="s">
        <v>1911</v>
      </c>
      <c r="D636" s="18" t="s">
        <v>42</v>
      </c>
      <c r="E636" s="17" t="s">
        <v>1912</v>
      </c>
      <c r="F636" s="18" t="s">
        <v>191</v>
      </c>
      <c r="G636" s="17"/>
      <c r="H636" s="18" t="s">
        <v>24</v>
      </c>
    </row>
    <row r="637" spans="1:8" x14ac:dyDescent="0.55000000000000004">
      <c r="A637" s="4"/>
      <c r="B637" s="5" t="s">
        <v>1913</v>
      </c>
      <c r="C637" s="5" t="s">
        <v>1914</v>
      </c>
      <c r="D637" s="4" t="s">
        <v>42</v>
      </c>
      <c r="E637" s="5" t="s">
        <v>1915</v>
      </c>
      <c r="F637" s="4" t="s">
        <v>191</v>
      </c>
      <c r="G637" s="5"/>
      <c r="H637" s="4" t="s">
        <v>24</v>
      </c>
    </row>
    <row r="638" spans="1:8" x14ac:dyDescent="0.55000000000000004">
      <c r="A638" s="4"/>
      <c r="B638" s="5" t="s">
        <v>1916</v>
      </c>
      <c r="C638" s="5" t="s">
        <v>1917</v>
      </c>
      <c r="D638" s="4" t="s">
        <v>132</v>
      </c>
      <c r="E638" s="5" t="s">
        <v>1918</v>
      </c>
      <c r="F638" s="4" t="s">
        <v>422</v>
      </c>
      <c r="G638" s="5"/>
      <c r="H638" s="4" t="s">
        <v>144</v>
      </c>
    </row>
    <row r="639" spans="1:8" x14ac:dyDescent="0.55000000000000004">
      <c r="A639" s="4"/>
      <c r="B639" s="5" t="s">
        <v>1919</v>
      </c>
      <c r="C639" s="5" t="s">
        <v>1920</v>
      </c>
      <c r="D639" s="4" t="s">
        <v>13</v>
      </c>
      <c r="E639" s="5" t="s">
        <v>1921</v>
      </c>
      <c r="F639" s="4" t="s">
        <v>191</v>
      </c>
      <c r="G639" s="5"/>
      <c r="H639" s="4" t="s">
        <v>616</v>
      </c>
    </row>
    <row r="640" spans="1:8" x14ac:dyDescent="0.55000000000000004">
      <c r="A640" s="4">
        <v>66</v>
      </c>
      <c r="B640" s="5" t="s">
        <v>1922</v>
      </c>
      <c r="C640" s="5" t="s">
        <v>1923</v>
      </c>
      <c r="D640" s="4" t="s">
        <v>21</v>
      </c>
      <c r="E640" s="5" t="s">
        <v>1924</v>
      </c>
      <c r="F640" s="4" t="s">
        <v>28</v>
      </c>
      <c r="G640" s="5"/>
      <c r="H640" s="4"/>
    </row>
    <row r="641" spans="1:9" x14ac:dyDescent="0.55000000000000004">
      <c r="A641" s="4">
        <v>3</v>
      </c>
      <c r="B641" s="5" t="s">
        <v>1925</v>
      </c>
      <c r="C641" s="5" t="s">
        <v>1926</v>
      </c>
      <c r="D641" s="4" t="s">
        <v>13</v>
      </c>
      <c r="E641" s="5" t="s">
        <v>1927</v>
      </c>
      <c r="F641" s="4" t="s">
        <v>28</v>
      </c>
      <c r="G641" s="5" t="s">
        <v>1928</v>
      </c>
      <c r="H641" s="4" t="s">
        <v>1929</v>
      </c>
    </row>
    <row r="642" spans="1:9" x14ac:dyDescent="0.55000000000000004">
      <c r="A642" s="4"/>
      <c r="B642" s="5" t="s">
        <v>1930</v>
      </c>
      <c r="C642" s="5" t="s">
        <v>1930</v>
      </c>
      <c r="D642" s="4" t="s">
        <v>132</v>
      </c>
      <c r="E642" s="5" t="s">
        <v>1931</v>
      </c>
      <c r="F642" s="4"/>
      <c r="G642" s="5" t="s">
        <v>1932</v>
      </c>
      <c r="H642" s="4" t="s">
        <v>144</v>
      </c>
    </row>
    <row r="643" spans="1:9" x14ac:dyDescent="0.55000000000000004">
      <c r="A643" s="4"/>
      <c r="B643" s="5" t="s">
        <v>1933</v>
      </c>
      <c r="C643" s="5" t="s">
        <v>1934</v>
      </c>
      <c r="D643" s="4" t="s">
        <v>21</v>
      </c>
      <c r="E643" s="5" t="s">
        <v>1935</v>
      </c>
      <c r="F643" s="4" t="s">
        <v>39</v>
      </c>
      <c r="G643" s="5" t="s">
        <v>1759</v>
      </c>
      <c r="H643" s="4" t="s">
        <v>39</v>
      </c>
    </row>
    <row r="644" spans="1:9" x14ac:dyDescent="0.55000000000000004">
      <c r="A644" s="4"/>
      <c r="B644" s="5" t="s">
        <v>1936</v>
      </c>
      <c r="C644" s="5" t="s">
        <v>1936</v>
      </c>
      <c r="D644" s="4" t="s">
        <v>13</v>
      </c>
      <c r="E644" s="5" t="s">
        <v>1937</v>
      </c>
      <c r="F644" s="4" t="s">
        <v>128</v>
      </c>
      <c r="G644" s="5"/>
      <c r="H644" s="4" t="s">
        <v>1938</v>
      </c>
    </row>
    <row r="645" spans="1:9" x14ac:dyDescent="0.55000000000000004">
      <c r="A645" s="4"/>
      <c r="B645" s="5" t="s">
        <v>1939</v>
      </c>
      <c r="C645" s="5" t="s">
        <v>1940</v>
      </c>
      <c r="D645" s="4" t="s">
        <v>132</v>
      </c>
      <c r="E645" s="5" t="s">
        <v>1941</v>
      </c>
      <c r="F645" s="4" t="s">
        <v>422</v>
      </c>
      <c r="G645" s="5" t="s">
        <v>1942</v>
      </c>
      <c r="H645" s="4" t="s">
        <v>24</v>
      </c>
    </row>
    <row r="646" spans="1:9" x14ac:dyDescent="0.55000000000000004">
      <c r="A646" s="4"/>
      <c r="B646" s="5" t="s">
        <v>1943</v>
      </c>
      <c r="C646" s="5" t="s">
        <v>1944</v>
      </c>
      <c r="D646" s="4" t="s">
        <v>42</v>
      </c>
      <c r="E646" s="5" t="s">
        <v>1945</v>
      </c>
      <c r="F646" s="4" t="s">
        <v>39</v>
      </c>
      <c r="G646" s="5"/>
      <c r="H646" s="4" t="s">
        <v>39</v>
      </c>
    </row>
    <row r="647" spans="1:9" x14ac:dyDescent="0.55000000000000004">
      <c r="A647" s="4"/>
      <c r="B647" s="5" t="s">
        <v>1946</v>
      </c>
      <c r="C647" s="5" t="s">
        <v>1946</v>
      </c>
      <c r="D647" s="4" t="s">
        <v>158</v>
      </c>
      <c r="E647" s="5" t="s">
        <v>158</v>
      </c>
      <c r="F647" s="4" t="s">
        <v>68</v>
      </c>
      <c r="G647" s="5" t="s">
        <v>1947</v>
      </c>
      <c r="H647" s="4" t="s">
        <v>24</v>
      </c>
    </row>
    <row r="648" spans="1:9" x14ac:dyDescent="0.55000000000000004">
      <c r="A648" s="4">
        <v>67</v>
      </c>
      <c r="B648" s="5" t="s">
        <v>1948</v>
      </c>
      <c r="C648" s="5" t="s">
        <v>1949</v>
      </c>
      <c r="D648" s="4" t="s">
        <v>46</v>
      </c>
      <c r="E648" s="5" t="s">
        <v>1950</v>
      </c>
      <c r="F648" s="4" t="s">
        <v>28</v>
      </c>
      <c r="G648" s="5"/>
      <c r="H648" s="4" t="s">
        <v>24</v>
      </c>
    </row>
    <row r="649" spans="1:9" x14ac:dyDescent="0.55000000000000004">
      <c r="A649" s="4"/>
      <c r="B649" s="5" t="s">
        <v>1951</v>
      </c>
      <c r="C649" s="5" t="s">
        <v>1951</v>
      </c>
      <c r="D649" s="4" t="s">
        <v>21</v>
      </c>
      <c r="E649" s="5" t="s">
        <v>1952</v>
      </c>
      <c r="F649" s="4" t="s">
        <v>417</v>
      </c>
      <c r="G649" s="5"/>
      <c r="H649" s="4" t="s">
        <v>24</v>
      </c>
    </row>
    <row r="650" spans="1:9" x14ac:dyDescent="0.55000000000000004">
      <c r="A650" s="4">
        <v>24</v>
      </c>
      <c r="B650" s="5" t="s">
        <v>1953</v>
      </c>
      <c r="C650" s="5" t="s">
        <v>1954</v>
      </c>
      <c r="D650" s="4" t="s">
        <v>21</v>
      </c>
      <c r="E650" s="5" t="s">
        <v>1955</v>
      </c>
      <c r="F650" s="4" t="s">
        <v>28</v>
      </c>
      <c r="G650" s="5"/>
      <c r="H650" s="4" t="s">
        <v>1956</v>
      </c>
    </row>
    <row r="651" spans="1:9" x14ac:dyDescent="0.55000000000000004">
      <c r="A651" s="4"/>
      <c r="B651" s="5" t="s">
        <v>1957</v>
      </c>
      <c r="C651" s="5" t="s">
        <v>1958</v>
      </c>
      <c r="D651" s="4" t="s">
        <v>42</v>
      </c>
      <c r="E651" s="5" t="s">
        <v>1180</v>
      </c>
      <c r="F651" s="4" t="s">
        <v>39</v>
      </c>
      <c r="G651" s="5"/>
      <c r="H651" s="4" t="s">
        <v>39</v>
      </c>
    </row>
    <row r="652" spans="1:9" x14ac:dyDescent="0.55000000000000004">
      <c r="A652" s="4"/>
      <c r="B652" s="5" t="s">
        <v>1959</v>
      </c>
      <c r="C652" s="5" t="s">
        <v>1959</v>
      </c>
      <c r="D652" s="4" t="s">
        <v>46</v>
      </c>
      <c r="E652" s="5" t="s">
        <v>1960</v>
      </c>
      <c r="F652" s="4" t="s">
        <v>191</v>
      </c>
      <c r="G652" s="5"/>
      <c r="H652" s="4" t="s">
        <v>192</v>
      </c>
      <c r="I652" s="2" t="s">
        <v>1961</v>
      </c>
    </row>
    <row r="653" spans="1:9" x14ac:dyDescent="0.55000000000000004">
      <c r="A653" s="4"/>
      <c r="B653" s="5" t="s">
        <v>1962</v>
      </c>
      <c r="C653" s="5" t="s">
        <v>1963</v>
      </c>
      <c r="D653" s="4" t="s">
        <v>13</v>
      </c>
      <c r="E653" s="5" t="s">
        <v>1964</v>
      </c>
      <c r="F653" s="4" t="s">
        <v>39</v>
      </c>
      <c r="G653" s="5"/>
      <c r="H653" s="4" t="s">
        <v>39</v>
      </c>
    </row>
    <row r="654" spans="1:9" x14ac:dyDescent="0.55000000000000004">
      <c r="A654" s="4"/>
      <c r="B654" s="5" t="s">
        <v>1965</v>
      </c>
      <c r="C654" s="5" t="s">
        <v>1962</v>
      </c>
      <c r="D654" s="4" t="s">
        <v>42</v>
      </c>
      <c r="E654" s="5" t="s">
        <v>1966</v>
      </c>
      <c r="F654" s="4" t="s">
        <v>39</v>
      </c>
      <c r="G654" s="5"/>
      <c r="H654" s="4" t="s">
        <v>39</v>
      </c>
    </row>
    <row r="655" spans="1:9" x14ac:dyDescent="0.55000000000000004">
      <c r="A655" s="4"/>
      <c r="B655" s="5" t="s">
        <v>1967</v>
      </c>
      <c r="C655" s="5" t="s">
        <v>1967</v>
      </c>
      <c r="D655" s="4" t="s">
        <v>21</v>
      </c>
      <c r="E655" s="5" t="s">
        <v>1968</v>
      </c>
      <c r="F655" s="4" t="s">
        <v>39</v>
      </c>
      <c r="G655" s="5"/>
      <c r="H655" s="4" t="s">
        <v>39</v>
      </c>
    </row>
    <row r="656" spans="1:9" x14ac:dyDescent="0.55000000000000004">
      <c r="A656" s="4"/>
      <c r="B656" s="5" t="s">
        <v>1969</v>
      </c>
      <c r="C656" s="5" t="s">
        <v>1969</v>
      </c>
      <c r="D656" s="4" t="s">
        <v>42</v>
      </c>
      <c r="E656" s="5" t="s">
        <v>1970</v>
      </c>
      <c r="F656" s="4" t="s">
        <v>39</v>
      </c>
      <c r="G656" s="5"/>
      <c r="H656" s="4" t="s">
        <v>39</v>
      </c>
    </row>
    <row r="657" spans="1:8" x14ac:dyDescent="0.55000000000000004">
      <c r="A657" s="4"/>
      <c r="B657" s="5" t="s">
        <v>1971</v>
      </c>
      <c r="C657" s="5" t="s">
        <v>1971</v>
      </c>
      <c r="D657" s="4" t="s">
        <v>42</v>
      </c>
      <c r="E657" s="5" t="s">
        <v>1972</v>
      </c>
      <c r="F657" s="4" t="s">
        <v>191</v>
      </c>
      <c r="G657" s="5"/>
      <c r="H657" s="4" t="s">
        <v>24</v>
      </c>
    </row>
    <row r="658" spans="1:8" x14ac:dyDescent="0.55000000000000004">
      <c r="A658" s="4"/>
      <c r="B658" s="5" t="s">
        <v>1973</v>
      </c>
      <c r="C658" s="5" t="s">
        <v>1974</v>
      </c>
      <c r="D658" s="4" t="s">
        <v>21</v>
      </c>
      <c r="E658" s="5" t="s">
        <v>1975</v>
      </c>
      <c r="F658" s="4" t="s">
        <v>39</v>
      </c>
      <c r="G658" s="5"/>
      <c r="H658" s="4" t="s">
        <v>39</v>
      </c>
    </row>
    <row r="659" spans="1:8" x14ac:dyDescent="0.55000000000000004">
      <c r="A659" s="4"/>
      <c r="B659" s="5" t="s">
        <v>1976</v>
      </c>
      <c r="C659" s="5" t="s">
        <v>1973</v>
      </c>
      <c r="D659" s="4" t="s">
        <v>21</v>
      </c>
      <c r="E659" s="5" t="s">
        <v>1977</v>
      </c>
      <c r="F659" s="4" t="s">
        <v>39</v>
      </c>
      <c r="G659" s="5"/>
      <c r="H659" s="4" t="s">
        <v>39</v>
      </c>
    </row>
    <row r="660" spans="1:8" x14ac:dyDescent="0.55000000000000004">
      <c r="A660" s="4"/>
      <c r="B660" s="5" t="s">
        <v>1978</v>
      </c>
      <c r="C660" s="5" t="s">
        <v>1978</v>
      </c>
      <c r="D660" s="4" t="s">
        <v>21</v>
      </c>
      <c r="E660" s="5" t="s">
        <v>1979</v>
      </c>
      <c r="F660" s="4" t="s">
        <v>39</v>
      </c>
      <c r="G660" s="5"/>
      <c r="H660" s="4" t="s">
        <v>39</v>
      </c>
    </row>
    <row r="661" spans="1:8" x14ac:dyDescent="0.55000000000000004">
      <c r="A661" s="4"/>
      <c r="B661" s="21" t="s">
        <v>1980</v>
      </c>
      <c r="C661" s="21" t="s">
        <v>1980</v>
      </c>
      <c r="D661" s="22" t="s">
        <v>21</v>
      </c>
      <c r="E661" s="21" t="s">
        <v>1981</v>
      </c>
      <c r="F661" s="22" t="s">
        <v>39</v>
      </c>
      <c r="G661" s="21" t="s">
        <v>1982</v>
      </c>
      <c r="H661" s="22" t="s">
        <v>39</v>
      </c>
    </row>
    <row r="662" spans="1:8" x14ac:dyDescent="0.55000000000000004">
      <c r="A662" s="4"/>
      <c r="B662" s="5" t="s">
        <v>1983</v>
      </c>
      <c r="C662" s="5" t="s">
        <v>1983</v>
      </c>
      <c r="D662" s="4" t="s">
        <v>21</v>
      </c>
      <c r="E662" s="5" t="s">
        <v>1984</v>
      </c>
      <c r="F662" s="4" t="s">
        <v>191</v>
      </c>
      <c r="G662" s="5"/>
      <c r="H662" s="4"/>
    </row>
    <row r="663" spans="1:8" x14ac:dyDescent="0.55000000000000004">
      <c r="A663" s="4"/>
      <c r="B663" s="5" t="s">
        <v>1985</v>
      </c>
      <c r="C663" s="5" t="s">
        <v>1985</v>
      </c>
      <c r="D663" s="4" t="s">
        <v>49</v>
      </c>
      <c r="E663" s="5" t="s">
        <v>1986</v>
      </c>
      <c r="F663" s="4" t="s">
        <v>39</v>
      </c>
      <c r="G663" s="5"/>
      <c r="H663" s="4" t="s">
        <v>39</v>
      </c>
    </row>
    <row r="664" spans="1:8" x14ac:dyDescent="0.55000000000000004">
      <c r="A664" s="4"/>
      <c r="B664" s="5" t="s">
        <v>1987</v>
      </c>
      <c r="C664" s="5" t="s">
        <v>1987</v>
      </c>
      <c r="D664" s="4" t="s">
        <v>21</v>
      </c>
      <c r="E664" s="5" t="s">
        <v>1988</v>
      </c>
      <c r="F664" s="4" t="s">
        <v>39</v>
      </c>
      <c r="G664" s="5"/>
      <c r="H664" s="4" t="s">
        <v>39</v>
      </c>
    </row>
    <row r="665" spans="1:8" x14ac:dyDescent="0.55000000000000004">
      <c r="A665" s="4"/>
      <c r="B665" s="5" t="s">
        <v>1989</v>
      </c>
      <c r="C665" s="5" t="s">
        <v>1989</v>
      </c>
      <c r="D665" s="4" t="s">
        <v>21</v>
      </c>
      <c r="E665" s="5" t="s">
        <v>1990</v>
      </c>
      <c r="F665" s="4" t="s">
        <v>39</v>
      </c>
      <c r="G665" s="5"/>
      <c r="H665" s="4" t="s">
        <v>39</v>
      </c>
    </row>
    <row r="666" spans="1:8" x14ac:dyDescent="0.55000000000000004">
      <c r="A666" s="4"/>
      <c r="B666" s="5" t="s">
        <v>1991</v>
      </c>
      <c r="C666" s="5" t="s">
        <v>1991</v>
      </c>
      <c r="D666" s="4" t="s">
        <v>42</v>
      </c>
      <c r="E666" s="5" t="s">
        <v>1992</v>
      </c>
      <c r="F666" s="4" t="s">
        <v>39</v>
      </c>
      <c r="G666" s="5"/>
      <c r="H666" s="4" t="s">
        <v>39</v>
      </c>
    </row>
    <row r="667" spans="1:8" x14ac:dyDescent="0.55000000000000004">
      <c r="A667" s="4"/>
      <c r="B667" s="6" t="s">
        <v>1993</v>
      </c>
      <c r="C667" s="6" t="s">
        <v>1993</v>
      </c>
      <c r="D667" s="7" t="s">
        <v>21</v>
      </c>
      <c r="E667" s="6" t="s">
        <v>1271</v>
      </c>
      <c r="F667" s="7" t="s">
        <v>191</v>
      </c>
      <c r="G667" s="5"/>
      <c r="H667" s="4" t="s">
        <v>1272</v>
      </c>
    </row>
    <row r="668" spans="1:8" x14ac:dyDescent="0.55000000000000004">
      <c r="A668" s="4"/>
      <c r="B668" s="5" t="s">
        <v>1994</v>
      </c>
      <c r="C668" s="5" t="s">
        <v>1994</v>
      </c>
      <c r="D668" s="4" t="s">
        <v>42</v>
      </c>
      <c r="E668" s="5" t="s">
        <v>1995</v>
      </c>
      <c r="F668" s="4" t="s">
        <v>39</v>
      </c>
      <c r="G668" s="5"/>
      <c r="H668" s="4" t="s">
        <v>39</v>
      </c>
    </row>
    <row r="669" spans="1:8" x14ac:dyDescent="0.55000000000000004">
      <c r="A669" s="4"/>
      <c r="B669" s="5" t="s">
        <v>1996</v>
      </c>
      <c r="C669" s="5" t="s">
        <v>1996</v>
      </c>
      <c r="D669" s="4" t="s">
        <v>21</v>
      </c>
      <c r="E669" s="5" t="s">
        <v>1997</v>
      </c>
      <c r="F669" s="4" t="s">
        <v>39</v>
      </c>
      <c r="G669" s="5"/>
      <c r="H669" s="4" t="s">
        <v>39</v>
      </c>
    </row>
    <row r="670" spans="1:8" x14ac:dyDescent="0.55000000000000004">
      <c r="A670" s="4"/>
      <c r="B670" s="5" t="s">
        <v>1998</v>
      </c>
      <c r="C670" s="5" t="s">
        <v>1998</v>
      </c>
      <c r="D670" s="4" t="s">
        <v>46</v>
      </c>
      <c r="E670" s="5" t="s">
        <v>1999</v>
      </c>
      <c r="F670" s="4" t="s">
        <v>116</v>
      </c>
      <c r="G670" s="23" t="s">
        <v>2000</v>
      </c>
      <c r="H670" s="4" t="s">
        <v>24</v>
      </c>
    </row>
    <row r="671" spans="1:8" x14ac:dyDescent="0.55000000000000004">
      <c r="A671" s="4"/>
      <c r="B671" s="5" t="s">
        <v>2001</v>
      </c>
      <c r="C671" s="5" t="s">
        <v>2001</v>
      </c>
      <c r="D671" s="4" t="s">
        <v>21</v>
      </c>
      <c r="E671" s="5" t="s">
        <v>2002</v>
      </c>
      <c r="F671" s="4" t="s">
        <v>39</v>
      </c>
      <c r="G671" s="5"/>
      <c r="H671" s="4" t="s">
        <v>39</v>
      </c>
    </row>
    <row r="672" spans="1:8" x14ac:dyDescent="0.55000000000000004">
      <c r="A672" s="4">
        <v>67</v>
      </c>
      <c r="B672" s="5" t="s">
        <v>2003</v>
      </c>
      <c r="C672" s="5" t="s">
        <v>2003</v>
      </c>
      <c r="D672" s="4" t="s">
        <v>46</v>
      </c>
      <c r="E672" s="5" t="s">
        <v>2004</v>
      </c>
      <c r="F672" s="4" t="s">
        <v>28</v>
      </c>
      <c r="G672" s="5"/>
      <c r="H672" s="4" t="s">
        <v>24</v>
      </c>
    </row>
    <row r="673" spans="1:8" x14ac:dyDescent="0.55000000000000004">
      <c r="A673" s="4"/>
      <c r="B673" s="5" t="s">
        <v>2005</v>
      </c>
      <c r="C673" s="5" t="s">
        <v>2005</v>
      </c>
      <c r="D673" s="4" t="s">
        <v>21</v>
      </c>
      <c r="E673" s="5" t="s">
        <v>2006</v>
      </c>
      <c r="F673" s="4" t="s">
        <v>191</v>
      </c>
      <c r="G673" s="5"/>
      <c r="H673" s="4"/>
    </row>
    <row r="674" spans="1:8" x14ac:dyDescent="0.55000000000000004">
      <c r="A674" s="4"/>
      <c r="B674" s="5" t="s">
        <v>2007</v>
      </c>
      <c r="C674" s="5" t="s">
        <v>2008</v>
      </c>
      <c r="D674" s="4" t="s">
        <v>21</v>
      </c>
      <c r="E674" s="5" t="s">
        <v>2009</v>
      </c>
      <c r="F674" s="4" t="s">
        <v>39</v>
      </c>
      <c r="G674" s="5"/>
      <c r="H674" s="4" t="s">
        <v>39</v>
      </c>
    </row>
    <row r="675" spans="1:8" x14ac:dyDescent="0.55000000000000004">
      <c r="A675" s="4"/>
      <c r="B675" s="5" t="s">
        <v>2010</v>
      </c>
      <c r="C675" s="5" t="s">
        <v>2010</v>
      </c>
      <c r="D675" s="4" t="s">
        <v>21</v>
      </c>
      <c r="E675" s="5" t="s">
        <v>2011</v>
      </c>
      <c r="F675" s="4" t="s">
        <v>39</v>
      </c>
      <c r="G675" s="5"/>
      <c r="H675" s="4" t="s">
        <v>39</v>
      </c>
    </row>
    <row r="676" spans="1:8" x14ac:dyDescent="0.55000000000000004">
      <c r="A676" s="4"/>
      <c r="B676" s="5" t="s">
        <v>2012</v>
      </c>
      <c r="C676" s="5" t="s">
        <v>2012</v>
      </c>
      <c r="D676" s="4" t="s">
        <v>132</v>
      </c>
      <c r="E676" s="5" t="s">
        <v>2013</v>
      </c>
      <c r="F676" s="4" t="s">
        <v>191</v>
      </c>
      <c r="G676" s="5"/>
      <c r="H676" s="4" t="s">
        <v>2014</v>
      </c>
    </row>
    <row r="677" spans="1:8" x14ac:dyDescent="0.55000000000000004">
      <c r="A677" s="4"/>
      <c r="B677" s="5" t="s">
        <v>2015</v>
      </c>
      <c r="C677" s="5" t="s">
        <v>2015</v>
      </c>
      <c r="D677" s="4" t="s">
        <v>46</v>
      </c>
      <c r="E677" s="5" t="s">
        <v>2016</v>
      </c>
      <c r="F677" s="4" t="s">
        <v>39</v>
      </c>
      <c r="G677" s="5"/>
      <c r="H677" s="4" t="s">
        <v>39</v>
      </c>
    </row>
    <row r="678" spans="1:8" x14ac:dyDescent="0.55000000000000004">
      <c r="A678" s="4"/>
      <c r="B678" s="5" t="s">
        <v>2017</v>
      </c>
      <c r="C678" s="5" t="s">
        <v>2017</v>
      </c>
      <c r="D678" s="4" t="s">
        <v>21</v>
      </c>
      <c r="E678" s="5" t="s">
        <v>2018</v>
      </c>
      <c r="F678" s="4" t="s">
        <v>39</v>
      </c>
      <c r="G678" s="5"/>
      <c r="H678" s="4" t="s">
        <v>39</v>
      </c>
    </row>
    <row r="679" spans="1:8" x14ac:dyDescent="0.55000000000000004">
      <c r="A679" s="4"/>
      <c r="B679" s="5" t="s">
        <v>2019</v>
      </c>
      <c r="C679" s="5" t="s">
        <v>2020</v>
      </c>
      <c r="D679" s="4" t="s">
        <v>49</v>
      </c>
      <c r="E679" s="5" t="s">
        <v>2021</v>
      </c>
      <c r="F679" s="4" t="s">
        <v>428</v>
      </c>
      <c r="G679" s="5"/>
      <c r="H679" s="4" t="s">
        <v>24</v>
      </c>
    </row>
    <row r="680" spans="1:8" x14ac:dyDescent="0.55000000000000004">
      <c r="A680" s="4"/>
      <c r="B680" s="5" t="s">
        <v>2022</v>
      </c>
      <c r="C680" s="5" t="s">
        <v>2023</v>
      </c>
      <c r="D680" s="4" t="s">
        <v>21</v>
      </c>
      <c r="E680" s="5" t="s">
        <v>2024</v>
      </c>
      <c r="F680" s="4" t="s">
        <v>428</v>
      </c>
      <c r="G680" s="5"/>
      <c r="H680" s="4" t="s">
        <v>24</v>
      </c>
    </row>
    <row r="681" spans="1:8" x14ac:dyDescent="0.55000000000000004">
      <c r="A681" s="4"/>
      <c r="B681" s="5" t="s">
        <v>2025</v>
      </c>
      <c r="C681" s="5" t="s">
        <v>2025</v>
      </c>
      <c r="D681" s="4" t="s">
        <v>372</v>
      </c>
      <c r="E681" s="5" t="s">
        <v>2026</v>
      </c>
      <c r="F681" s="4" t="s">
        <v>116</v>
      </c>
      <c r="G681" s="5" t="s">
        <v>2027</v>
      </c>
      <c r="H681" s="4" t="s">
        <v>286</v>
      </c>
    </row>
    <row r="682" spans="1:8" x14ac:dyDescent="0.55000000000000004">
      <c r="A682" s="4"/>
      <c r="B682" s="5" t="s">
        <v>2028</v>
      </c>
      <c r="C682" s="5" t="s">
        <v>2029</v>
      </c>
      <c r="D682" s="4" t="s">
        <v>13</v>
      </c>
      <c r="E682" s="5" t="s">
        <v>2030</v>
      </c>
      <c r="F682" s="4" t="s">
        <v>128</v>
      </c>
      <c r="G682" s="5"/>
      <c r="H682" s="4" t="s">
        <v>2031</v>
      </c>
    </row>
    <row r="683" spans="1:8" x14ac:dyDescent="0.55000000000000004">
      <c r="A683" s="4"/>
      <c r="B683" s="5" t="s">
        <v>2032</v>
      </c>
      <c r="C683" s="5" t="s">
        <v>2033</v>
      </c>
      <c r="D683" s="4" t="s">
        <v>46</v>
      </c>
      <c r="E683" s="5" t="s">
        <v>2034</v>
      </c>
      <c r="F683" s="4" t="s">
        <v>39</v>
      </c>
      <c r="G683" s="5" t="s">
        <v>2035</v>
      </c>
      <c r="H683" s="4" t="s">
        <v>39</v>
      </c>
    </row>
    <row r="684" spans="1:8" x14ac:dyDescent="0.55000000000000004">
      <c r="A684" s="4">
        <v>27</v>
      </c>
      <c r="B684" s="5" t="s">
        <v>2036</v>
      </c>
      <c r="C684" s="5" t="s">
        <v>2037</v>
      </c>
      <c r="D684" s="4" t="s">
        <v>13</v>
      </c>
      <c r="E684" s="5" t="s">
        <v>2038</v>
      </c>
      <c r="F684" s="4" t="s">
        <v>28</v>
      </c>
      <c r="G684" s="5" t="s">
        <v>2039</v>
      </c>
      <c r="H684" s="4" t="s">
        <v>2040</v>
      </c>
    </row>
    <row r="685" spans="1:8" x14ac:dyDescent="0.55000000000000004">
      <c r="A685" s="4">
        <v>11</v>
      </c>
      <c r="B685" s="5" t="s">
        <v>2041</v>
      </c>
      <c r="C685" s="5" t="s">
        <v>2042</v>
      </c>
      <c r="D685" s="4" t="s">
        <v>42</v>
      </c>
      <c r="E685" s="5" t="s">
        <v>2043</v>
      </c>
      <c r="F685" s="4" t="s">
        <v>721</v>
      </c>
      <c r="G685" s="5" t="s">
        <v>2044</v>
      </c>
      <c r="H685" s="4" t="s">
        <v>2045</v>
      </c>
    </row>
    <row r="686" spans="1:8" x14ac:dyDescent="0.55000000000000004">
      <c r="A686" s="4">
        <v>23</v>
      </c>
      <c r="B686" s="5" t="s">
        <v>2046</v>
      </c>
      <c r="C686" s="5" t="s">
        <v>2047</v>
      </c>
      <c r="D686" s="4" t="s">
        <v>46</v>
      </c>
      <c r="E686" s="5" t="s">
        <v>2048</v>
      </c>
      <c r="F686" s="4" t="s">
        <v>28</v>
      </c>
      <c r="G686" s="5" t="s">
        <v>2049</v>
      </c>
      <c r="H686" s="4" t="s">
        <v>2050</v>
      </c>
    </row>
    <row r="687" spans="1:8" x14ac:dyDescent="0.55000000000000004">
      <c r="A687" s="4"/>
      <c r="B687" s="5" t="s">
        <v>2051</v>
      </c>
      <c r="C687" s="5" t="s">
        <v>2052</v>
      </c>
      <c r="D687" s="4" t="s">
        <v>46</v>
      </c>
      <c r="E687" s="5" t="s">
        <v>2053</v>
      </c>
      <c r="F687" s="4" t="s">
        <v>28</v>
      </c>
      <c r="G687" s="5" t="s">
        <v>2054</v>
      </c>
      <c r="H687" s="4" t="s">
        <v>2050</v>
      </c>
    </row>
    <row r="688" spans="1:8" x14ac:dyDescent="0.55000000000000004">
      <c r="A688" s="4"/>
      <c r="B688" s="5" t="s">
        <v>2055</v>
      </c>
      <c r="C688" s="5" t="s">
        <v>2056</v>
      </c>
      <c r="D688" s="4" t="s">
        <v>21</v>
      </c>
      <c r="E688" s="5" t="s">
        <v>2057</v>
      </c>
      <c r="F688" s="4" t="s">
        <v>39</v>
      </c>
      <c r="G688" s="5"/>
      <c r="H688" s="4" t="s">
        <v>39</v>
      </c>
    </row>
    <row r="689" spans="1:8" x14ac:dyDescent="0.55000000000000004">
      <c r="A689" s="4">
        <v>54</v>
      </c>
      <c r="B689" s="5" t="s">
        <v>2058</v>
      </c>
      <c r="C689" s="5" t="s">
        <v>2059</v>
      </c>
      <c r="D689" s="4" t="s">
        <v>42</v>
      </c>
      <c r="E689" s="5" t="s">
        <v>2060</v>
      </c>
      <c r="F689" s="4" t="s">
        <v>28</v>
      </c>
      <c r="G689" s="5"/>
      <c r="H689" s="4" t="s">
        <v>2061</v>
      </c>
    </row>
    <row r="690" spans="1:8" x14ac:dyDescent="0.55000000000000004">
      <c r="A690" s="4">
        <v>54.1</v>
      </c>
      <c r="B690" s="5" t="s">
        <v>2062</v>
      </c>
      <c r="C690" s="5" t="s">
        <v>2063</v>
      </c>
      <c r="D690" s="4" t="s">
        <v>132</v>
      </c>
      <c r="E690" s="5" t="s">
        <v>2064</v>
      </c>
      <c r="F690" s="4" t="s">
        <v>28</v>
      </c>
      <c r="G690" s="5"/>
      <c r="H690" s="4" t="s">
        <v>2061</v>
      </c>
    </row>
    <row r="691" spans="1:8" x14ac:dyDescent="0.55000000000000004">
      <c r="A691" s="4">
        <v>54.1</v>
      </c>
      <c r="B691" s="5" t="s">
        <v>2065</v>
      </c>
      <c r="C691" s="5" t="s">
        <v>2066</v>
      </c>
      <c r="D691" s="4" t="s">
        <v>42</v>
      </c>
      <c r="E691" s="5" t="s">
        <v>2067</v>
      </c>
      <c r="F691" s="4" t="s">
        <v>28</v>
      </c>
      <c r="G691" s="5"/>
      <c r="H691" s="4" t="s">
        <v>2061</v>
      </c>
    </row>
    <row r="692" spans="1:8" x14ac:dyDescent="0.55000000000000004">
      <c r="A692" s="4"/>
      <c r="B692" s="5" t="s">
        <v>2068</v>
      </c>
      <c r="C692" s="5" t="s">
        <v>2069</v>
      </c>
      <c r="D692" s="4" t="s">
        <v>21</v>
      </c>
      <c r="E692" s="5" t="s">
        <v>2070</v>
      </c>
      <c r="F692" s="4" t="s">
        <v>28</v>
      </c>
      <c r="G692" s="5" t="s">
        <v>2071</v>
      </c>
      <c r="H692" s="4" t="s">
        <v>24</v>
      </c>
    </row>
    <row r="693" spans="1:8" x14ac:dyDescent="0.55000000000000004">
      <c r="A693" s="4"/>
      <c r="B693" s="5" t="s">
        <v>2072</v>
      </c>
      <c r="C693" s="5" t="s">
        <v>2073</v>
      </c>
      <c r="D693" s="4" t="s">
        <v>49</v>
      </c>
      <c r="E693" s="5" t="s">
        <v>2074</v>
      </c>
      <c r="F693" s="4" t="s">
        <v>39</v>
      </c>
      <c r="G693" s="5"/>
      <c r="H693" s="4" t="s">
        <v>39</v>
      </c>
    </row>
    <row r="694" spans="1:8" x14ac:dyDescent="0.55000000000000004">
      <c r="A694" s="4">
        <v>81</v>
      </c>
      <c r="B694" s="5" t="s">
        <v>2075</v>
      </c>
      <c r="C694" s="5" t="s">
        <v>2076</v>
      </c>
      <c r="D694" s="4" t="s">
        <v>21</v>
      </c>
      <c r="E694" s="5" t="s">
        <v>2077</v>
      </c>
      <c r="F694" s="4" t="s">
        <v>28</v>
      </c>
      <c r="G694" s="5"/>
      <c r="H694" s="4" t="s">
        <v>24</v>
      </c>
    </row>
    <row r="695" spans="1:8" x14ac:dyDescent="0.55000000000000004">
      <c r="A695" s="4">
        <v>35</v>
      </c>
      <c r="B695" s="5" t="s">
        <v>2078</v>
      </c>
      <c r="C695" s="5" t="s">
        <v>2079</v>
      </c>
      <c r="D695" s="4" t="s">
        <v>13</v>
      </c>
      <c r="E695" s="5" t="s">
        <v>2080</v>
      </c>
      <c r="F695" s="4" t="s">
        <v>28</v>
      </c>
      <c r="G695" s="5"/>
      <c r="H695" s="4" t="s">
        <v>2081</v>
      </c>
    </row>
    <row r="696" spans="1:8" x14ac:dyDescent="0.55000000000000004">
      <c r="A696" s="4"/>
      <c r="B696" s="5" t="s">
        <v>2082</v>
      </c>
      <c r="C696" s="5" t="s">
        <v>2083</v>
      </c>
      <c r="D696" s="4" t="s">
        <v>21</v>
      </c>
      <c r="E696" s="5" t="s">
        <v>2084</v>
      </c>
      <c r="F696" s="4" t="s">
        <v>2085</v>
      </c>
      <c r="G696" s="5"/>
      <c r="H696" s="4" t="s">
        <v>144</v>
      </c>
    </row>
    <row r="697" spans="1:8" x14ac:dyDescent="0.55000000000000004">
      <c r="A697" s="4"/>
      <c r="B697" s="5"/>
      <c r="C697" s="5"/>
      <c r="D697" s="4"/>
      <c r="E697" s="5"/>
      <c r="F697" s="4"/>
      <c r="G697" s="5"/>
      <c r="H697" s="4"/>
    </row>
    <row r="698" spans="1:8" x14ac:dyDescent="0.55000000000000004">
      <c r="A698" s="4"/>
      <c r="B698" s="5"/>
      <c r="C698" s="5"/>
      <c r="D698" s="4"/>
      <c r="E698" s="5"/>
      <c r="F698" s="4"/>
      <c r="G698" s="5"/>
      <c r="H698" s="4"/>
    </row>
    <row r="699" spans="1:8" x14ac:dyDescent="0.55000000000000004">
      <c r="A699" s="4"/>
      <c r="B699" s="5"/>
      <c r="C699" s="5"/>
      <c r="D699" s="4"/>
      <c r="E699" s="5"/>
      <c r="F699" s="4"/>
      <c r="G699" s="5"/>
      <c r="H699" s="4"/>
    </row>
    <row r="700" spans="1:8" x14ac:dyDescent="0.55000000000000004">
      <c r="A700" s="4"/>
      <c r="B700" s="5"/>
      <c r="C700" s="5"/>
      <c r="D700" s="4"/>
      <c r="E700" s="5"/>
      <c r="F700" s="4"/>
      <c r="G700" s="5"/>
      <c r="H700" s="4"/>
    </row>
  </sheetData>
  <autoFilter ref="A1:H696" xr:uid="{79EE39C8-00C8-4B32-B115-89231E1716D4}">
    <sortState xmlns:xlrd2="http://schemas.microsoft.com/office/spreadsheetml/2017/richdata2" ref="A2:H696">
      <sortCondition ref="B1:B696"/>
    </sortState>
  </autoFilter>
  <dataValidations count="1">
    <dataValidation type="list" allowBlank="1" showInputMessage="1" showErrorMessage="1" sqref="D251:D252" xr:uid="{05EDB4C8-61A3-4FF5-8F24-8132AC67355B}">
      <formula1>$AE$2:$AE$51</formula1>
    </dataValidation>
  </dataValidations>
  <pageMargins left="0.43307086614173229" right="0.31496062992125984" top="0.59055118110236227" bottom="0.23622047244094491" header="0.19685039370078741" footer="0.19685039370078741"/>
  <pageSetup paperSize="9" orientation="portrait" r:id="rId1"/>
  <headerFooter>
    <oddHeader>&amp;C&amp;"Cordia New,ตัวหนา"&amp;20บัญชีSTAFF</oddHead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A4753-A05A-493F-8707-B2A8649D28D1}">
  <dimension ref="A1:O22"/>
  <sheetViews>
    <sheetView workbookViewId="0">
      <selection activeCell="T13" sqref="T13"/>
    </sheetView>
  </sheetViews>
  <sheetFormatPr defaultRowHeight="14.25" x14ac:dyDescent="0.2"/>
  <cols>
    <col min="15" max="15" width="11.125" bestFit="1" customWidth="1"/>
  </cols>
  <sheetData>
    <row r="1" spans="1:15" ht="57.75" thickBot="1" x14ac:dyDescent="0.25">
      <c r="A1" s="329"/>
      <c r="B1" s="329"/>
      <c r="C1" s="329"/>
      <c r="D1" s="329"/>
      <c r="E1" s="329"/>
      <c r="F1" s="329"/>
      <c r="G1" s="329"/>
      <c r="H1" s="330" t="s">
        <v>2456</v>
      </c>
      <c r="I1" s="330"/>
      <c r="J1" s="330"/>
      <c r="K1" s="329"/>
      <c r="L1" s="329"/>
      <c r="M1" s="329"/>
      <c r="N1" s="331" t="s">
        <v>2457</v>
      </c>
      <c r="O1" s="331"/>
    </row>
    <row r="2" spans="1:15" ht="36" thickTop="1" thickBot="1" x14ac:dyDescent="0.25">
      <c r="A2" s="332" t="s">
        <v>2458</v>
      </c>
      <c r="B2" s="333"/>
      <c r="C2" s="333"/>
      <c r="D2" s="333"/>
      <c r="E2" s="333"/>
      <c r="F2" s="333"/>
      <c r="G2" s="333"/>
      <c r="H2" s="333"/>
      <c r="I2" s="333"/>
      <c r="J2" s="333"/>
      <c r="K2" s="333"/>
      <c r="L2" s="333"/>
      <c r="M2" s="333"/>
      <c r="N2" s="333"/>
      <c r="O2" s="334"/>
    </row>
    <row r="3" spans="1:15" ht="24.75" thickTop="1" x14ac:dyDescent="0.2">
      <c r="A3" s="335" t="s">
        <v>2459</v>
      </c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335"/>
      <c r="N3" s="336" t="s">
        <v>2460</v>
      </c>
      <c r="O3" s="337" t="s">
        <v>2196</v>
      </c>
    </row>
    <row r="4" spans="1:15" ht="24" x14ac:dyDescent="0.2">
      <c r="A4" s="338" t="s">
        <v>2</v>
      </c>
      <c r="B4" s="338"/>
      <c r="C4" s="339" t="s">
        <v>2461</v>
      </c>
      <c r="D4" s="339"/>
      <c r="E4" s="339"/>
      <c r="F4" s="339"/>
      <c r="G4" s="339"/>
      <c r="H4" s="339"/>
      <c r="I4" s="339"/>
      <c r="J4" s="339"/>
      <c r="K4" s="339"/>
      <c r="L4" s="339"/>
      <c r="M4" s="340"/>
      <c r="N4" s="336" t="s">
        <v>2462</v>
      </c>
      <c r="O4" s="341">
        <f>VLOOKUP(O3,'[2]5-69'!$A$3:$J$272,3,0)</f>
        <v>46143</v>
      </c>
    </row>
    <row r="5" spans="1:15" ht="18.75" x14ac:dyDescent="0.2">
      <c r="A5" s="342" t="s">
        <v>2463</v>
      </c>
      <c r="B5" s="343"/>
      <c r="C5" s="343"/>
      <c r="D5" s="343"/>
      <c r="E5" s="343"/>
      <c r="F5" s="343"/>
      <c r="G5" s="343"/>
      <c r="H5" s="343"/>
      <c r="I5" s="343"/>
      <c r="J5" s="343"/>
      <c r="K5" s="343"/>
      <c r="L5" s="343"/>
      <c r="M5" s="343"/>
      <c r="N5" s="343"/>
      <c r="O5" s="343"/>
    </row>
    <row r="6" spans="1:15" ht="24" x14ac:dyDescent="0.2">
      <c r="A6" s="344" t="s">
        <v>2464</v>
      </c>
      <c r="B6" s="344"/>
      <c r="C6" s="345">
        <f>+O14</f>
        <v>495000</v>
      </c>
      <c r="D6" s="345"/>
      <c r="E6" s="345"/>
      <c r="F6" s="345"/>
      <c r="G6" s="346" t="s">
        <v>2465</v>
      </c>
      <c r="H6" s="347" t="e">
        <f>VLOOKUP(C4,[3]บัญชีโอน!$B$1:$E$700,3,0)</f>
        <v>#N/A</v>
      </c>
      <c r="I6" s="348" t="s">
        <v>2466</v>
      </c>
      <c r="J6" s="349" t="e">
        <f>VLOOKUP(C4,[3]บัญชีโอน!$B$2:$E$700,2,0)</f>
        <v>#N/A</v>
      </c>
      <c r="K6" s="349"/>
      <c r="L6" s="349"/>
      <c r="M6" s="348" t="s">
        <v>2466</v>
      </c>
      <c r="N6" s="350" t="e">
        <f>VLOOKUP(J6,[3]บัญชีโอน!$C$1:$E$700,3,0)</f>
        <v>#N/A</v>
      </c>
      <c r="O6" s="350"/>
    </row>
    <row r="7" spans="1:15" ht="18.75" x14ac:dyDescent="0.2">
      <c r="A7" s="351" t="s">
        <v>2467</v>
      </c>
      <c r="B7" s="351"/>
      <c r="C7" s="352"/>
      <c r="D7" s="352"/>
      <c r="E7" s="352"/>
      <c r="F7" s="352"/>
      <c r="G7" s="353" t="s">
        <v>2468</v>
      </c>
      <c r="H7" s="354"/>
      <c r="I7" s="355"/>
      <c r="J7" s="355"/>
      <c r="K7" s="355"/>
      <c r="L7" s="351"/>
      <c r="M7" s="351"/>
      <c r="N7" s="351"/>
      <c r="O7" s="356"/>
    </row>
    <row r="8" spans="1:15" ht="48" x14ac:dyDescent="0.2">
      <c r="A8" s="357" t="s">
        <v>2469</v>
      </c>
      <c r="B8" s="358"/>
      <c r="C8" s="359"/>
      <c r="D8" s="357" t="s">
        <v>2179</v>
      </c>
      <c r="E8" s="358"/>
      <c r="F8" s="359"/>
      <c r="G8" s="357" t="s">
        <v>2470</v>
      </c>
      <c r="H8" s="358"/>
      <c r="I8" s="358"/>
      <c r="J8" s="358"/>
      <c r="K8" s="358"/>
      <c r="L8" s="358"/>
      <c r="M8" s="358"/>
      <c r="N8" s="359"/>
      <c r="O8" s="360" t="s">
        <v>2471</v>
      </c>
    </row>
    <row r="9" spans="1:15" ht="18.75" x14ac:dyDescent="0.2">
      <c r="A9" s="361" t="s">
        <v>2472</v>
      </c>
      <c r="B9" s="362"/>
      <c r="C9" s="363"/>
      <c r="D9" s="361" t="s">
        <v>2473</v>
      </c>
      <c r="E9" s="362"/>
      <c r="F9" s="363"/>
      <c r="G9" s="361" t="s">
        <v>2474</v>
      </c>
      <c r="H9" s="362"/>
      <c r="I9" s="362"/>
      <c r="J9" s="362"/>
      <c r="K9" s="362"/>
      <c r="L9" s="362"/>
      <c r="M9" s="362"/>
      <c r="N9" s="363"/>
      <c r="O9" s="364" t="s">
        <v>2467</v>
      </c>
    </row>
    <row r="10" spans="1:15" ht="24" x14ac:dyDescent="0.2">
      <c r="A10" s="365"/>
      <c r="B10" s="366"/>
      <c r="C10" s="367"/>
      <c r="D10" s="368" t="str">
        <f>VLOOKUP(O3,'[2]5-69'!$A$3:$J$272,5,0)</f>
        <v>โกเจี้ยวส่วนตัว</v>
      </c>
      <c r="E10" s="369"/>
      <c r="F10" s="370"/>
      <c r="G10" s="371" t="str">
        <f>VLOOKUP(O3,'[2]5-69'!$A$3:$J$272,6,0)</f>
        <v>เงินเดือนโกเจี้ยวและครอบครัว 5.)</v>
      </c>
      <c r="H10" s="372"/>
      <c r="I10" s="372"/>
      <c r="J10" s="372"/>
      <c r="K10" s="372"/>
      <c r="L10" s="372"/>
      <c r="M10" s="372"/>
      <c r="N10" s="373"/>
      <c r="O10" s="374">
        <f>VLOOKUP(O3,'[2]5-69'!$A$3:$J$272,10,0)</f>
        <v>495000</v>
      </c>
    </row>
    <row r="11" spans="1:15" ht="24" x14ac:dyDescent="0.2">
      <c r="A11" s="375"/>
      <c r="B11" s="376"/>
      <c r="C11" s="377"/>
      <c r="D11" s="378"/>
      <c r="E11" s="379"/>
      <c r="F11" s="380"/>
      <c r="G11" s="381"/>
      <c r="H11" s="382"/>
      <c r="I11" s="382"/>
      <c r="J11" s="382"/>
      <c r="K11" s="382"/>
      <c r="L11" s="382"/>
      <c r="M11" s="382"/>
      <c r="N11" s="383"/>
      <c r="O11" s="384"/>
    </row>
    <row r="12" spans="1:15" ht="24" x14ac:dyDescent="0.2">
      <c r="A12" s="375"/>
      <c r="B12" s="376"/>
      <c r="C12" s="377"/>
      <c r="D12" s="378"/>
      <c r="E12" s="379"/>
      <c r="F12" s="380"/>
      <c r="G12" s="381"/>
      <c r="H12" s="382"/>
      <c r="I12" s="382"/>
      <c r="J12" s="382"/>
      <c r="K12" s="382"/>
      <c r="L12" s="382"/>
      <c r="M12" s="382"/>
      <c r="N12" s="383"/>
      <c r="O12" s="384"/>
    </row>
    <row r="13" spans="1:15" ht="24" x14ac:dyDescent="0.2">
      <c r="A13" s="385"/>
      <c r="B13" s="386"/>
      <c r="C13" s="387"/>
      <c r="D13" s="388"/>
      <c r="E13" s="389"/>
      <c r="F13" s="390"/>
      <c r="G13" s="391"/>
      <c r="H13" s="392"/>
      <c r="I13" s="392"/>
      <c r="J13" s="392"/>
      <c r="K13" s="392"/>
      <c r="L13" s="392"/>
      <c r="M13" s="392"/>
      <c r="N13" s="393"/>
      <c r="O13" s="394"/>
    </row>
    <row r="14" spans="1:15" ht="24.75" thickBot="1" x14ac:dyDescent="0.25">
      <c r="A14" s="340"/>
      <c r="B14" s="340"/>
      <c r="C14" s="340"/>
      <c r="D14" s="340"/>
      <c r="E14" s="340"/>
      <c r="F14" s="340"/>
      <c r="G14" s="340"/>
      <c r="H14" s="340"/>
      <c r="I14" s="340"/>
      <c r="J14" s="340"/>
      <c r="K14" s="340"/>
      <c r="L14" s="358" t="s">
        <v>2088</v>
      </c>
      <c r="M14" s="358"/>
      <c r="N14" s="359"/>
      <c r="O14" s="395">
        <f>SUM(O10:O13)</f>
        <v>495000</v>
      </c>
    </row>
    <row r="15" spans="1:15" ht="24.75" thickTop="1" x14ac:dyDescent="0.2">
      <c r="A15" s="340"/>
      <c r="B15" s="340"/>
      <c r="C15" s="340"/>
      <c r="D15" s="340"/>
      <c r="E15" s="340"/>
      <c r="F15" s="340"/>
      <c r="G15" s="340"/>
      <c r="H15" s="340"/>
      <c r="I15" s="340"/>
      <c r="J15" s="340"/>
      <c r="K15" s="340"/>
      <c r="L15" s="351" t="s">
        <v>2475</v>
      </c>
      <c r="M15" s="351"/>
      <c r="N15" s="351"/>
      <c r="O15" s="396"/>
    </row>
    <row r="16" spans="1:15" ht="24" x14ac:dyDescent="0.2">
      <c r="A16" s="338" t="s">
        <v>2476</v>
      </c>
      <c r="B16" s="338"/>
      <c r="C16" s="338"/>
      <c r="D16" s="338"/>
      <c r="E16" s="397"/>
      <c r="F16" s="398" t="str">
        <f>"("&amp;BAHTTEXT(O14)&amp;")"</f>
        <v>(สี่แสนเก้าหมื่นห้าพันบาทถ้วน)</v>
      </c>
      <c r="G16" s="399"/>
      <c r="H16" s="399"/>
      <c r="I16" s="399"/>
      <c r="J16" s="399"/>
      <c r="K16" s="399"/>
      <c r="L16" s="399"/>
      <c r="M16" s="399"/>
      <c r="N16" s="399"/>
      <c r="O16" s="400"/>
    </row>
    <row r="17" spans="1:15" ht="24" x14ac:dyDescent="0.2">
      <c r="A17" s="343" t="s">
        <v>2477</v>
      </c>
      <c r="B17" s="343"/>
      <c r="C17" s="343"/>
      <c r="D17" s="343"/>
      <c r="E17" s="340"/>
      <c r="F17" s="340"/>
      <c r="G17" s="340"/>
      <c r="H17" s="340"/>
      <c r="I17" s="340"/>
      <c r="J17" s="340"/>
      <c r="K17" s="340"/>
      <c r="L17" s="340"/>
      <c r="M17" s="340"/>
      <c r="N17" s="340"/>
      <c r="O17" s="340"/>
    </row>
    <row r="18" spans="1:15" ht="24" x14ac:dyDescent="0.2">
      <c r="A18" s="397" t="s">
        <v>2478</v>
      </c>
      <c r="B18" s="401"/>
      <c r="C18" s="401"/>
      <c r="D18" s="401"/>
      <c r="E18" s="397"/>
      <c r="F18" s="397" t="s">
        <v>2479</v>
      </c>
      <c r="G18" s="402" t="s">
        <v>2480</v>
      </c>
      <c r="H18" s="402"/>
      <c r="I18" s="340"/>
      <c r="J18" s="340" t="s">
        <v>2481</v>
      </c>
      <c r="K18" s="401"/>
      <c r="L18" s="401"/>
      <c r="M18" s="340"/>
      <c r="N18" s="397" t="s">
        <v>2482</v>
      </c>
      <c r="O18" s="403"/>
    </row>
    <row r="19" spans="1:15" ht="21.75" x14ac:dyDescent="0.2">
      <c r="A19" s="404" t="s">
        <v>2483</v>
      </c>
      <c r="B19" s="405"/>
      <c r="C19" s="405"/>
      <c r="D19" s="405"/>
      <c r="E19" s="405"/>
      <c r="F19" s="404" t="s">
        <v>2484</v>
      </c>
      <c r="G19" s="405"/>
      <c r="H19" s="405"/>
      <c r="I19" s="406"/>
      <c r="J19" s="354" t="s">
        <v>2485</v>
      </c>
      <c r="K19" s="405"/>
      <c r="L19" s="405"/>
      <c r="M19" s="406"/>
      <c r="N19" s="404" t="s">
        <v>2486</v>
      </c>
      <c r="O19" s="405"/>
    </row>
    <row r="20" spans="1:15" ht="24" x14ac:dyDescent="0.2">
      <c r="A20" s="397" t="s">
        <v>2181</v>
      </c>
      <c r="B20" s="407"/>
      <c r="C20" s="407"/>
      <c r="D20" s="407"/>
      <c r="E20" s="397"/>
      <c r="F20" s="397" t="s">
        <v>2181</v>
      </c>
      <c r="G20" s="408">
        <f>O4</f>
        <v>46143</v>
      </c>
      <c r="H20" s="408"/>
      <c r="I20" s="340"/>
      <c r="J20" s="397" t="s">
        <v>2181</v>
      </c>
      <c r="K20" s="407"/>
      <c r="L20" s="407"/>
      <c r="M20" s="340"/>
      <c r="N20" s="397" t="s">
        <v>2181</v>
      </c>
      <c r="O20" s="409"/>
    </row>
    <row r="21" spans="1:15" ht="21.75" x14ac:dyDescent="0.2">
      <c r="A21" s="355" t="s">
        <v>2487</v>
      </c>
      <c r="B21" s="406"/>
      <c r="C21" s="406"/>
      <c r="D21" s="406"/>
      <c r="E21" s="406"/>
      <c r="F21" s="355" t="s">
        <v>2487</v>
      </c>
      <c r="G21" s="406"/>
      <c r="H21" s="406"/>
      <c r="I21" s="406"/>
      <c r="J21" s="355" t="s">
        <v>2487</v>
      </c>
      <c r="K21" s="406"/>
      <c r="L21" s="406"/>
      <c r="M21" s="406"/>
      <c r="N21" s="355" t="s">
        <v>2487</v>
      </c>
      <c r="O21" s="406"/>
    </row>
    <row r="22" spans="1:15" ht="22.5" thickBot="1" x14ac:dyDescent="0.25">
      <c r="A22" s="410"/>
      <c r="B22" s="410"/>
      <c r="C22" s="410"/>
      <c r="D22" s="410"/>
      <c r="E22" s="410"/>
      <c r="F22" s="410"/>
      <c r="G22" s="410"/>
      <c r="H22" s="410"/>
      <c r="I22" s="410"/>
      <c r="J22" s="410"/>
      <c r="K22" s="410"/>
      <c r="L22" s="410"/>
      <c r="M22" s="410"/>
      <c r="N22" s="410"/>
      <c r="O22" s="410"/>
    </row>
  </sheetData>
  <mergeCells count="40">
    <mergeCell ref="A17:D17"/>
    <mergeCell ref="B18:D18"/>
    <mergeCell ref="G18:H18"/>
    <mergeCell ref="K18:L18"/>
    <mergeCell ref="B20:D20"/>
    <mergeCell ref="G20:H20"/>
    <mergeCell ref="K20:L20"/>
    <mergeCell ref="A13:C13"/>
    <mergeCell ref="D13:F13"/>
    <mergeCell ref="G13:N13"/>
    <mergeCell ref="L14:N14"/>
    <mergeCell ref="L15:N15"/>
    <mergeCell ref="A16:D16"/>
    <mergeCell ref="F16:O16"/>
    <mergeCell ref="A11:C11"/>
    <mergeCell ref="D11:F11"/>
    <mergeCell ref="G11:N11"/>
    <mergeCell ref="A12:C12"/>
    <mergeCell ref="D12:F12"/>
    <mergeCell ref="G12:N12"/>
    <mergeCell ref="A9:C9"/>
    <mergeCell ref="D9:F9"/>
    <mergeCell ref="G9:N9"/>
    <mergeCell ref="A10:C10"/>
    <mergeCell ref="D10:F10"/>
    <mergeCell ref="G10:N10"/>
    <mergeCell ref="C6:F6"/>
    <mergeCell ref="J6:L6"/>
    <mergeCell ref="N6:O6"/>
    <mergeCell ref="A7:B7"/>
    <mergeCell ref="L7:N7"/>
    <mergeCell ref="A8:C8"/>
    <mergeCell ref="D8:F8"/>
    <mergeCell ref="G8:N8"/>
    <mergeCell ref="H1:J1"/>
    <mergeCell ref="N1:O1"/>
    <mergeCell ref="A2:O2"/>
    <mergeCell ref="A4:B4"/>
    <mergeCell ref="C4:L4"/>
    <mergeCell ref="B5:O5"/>
  </mergeCells>
  <dataValidations count="1">
    <dataValidation type="list" allowBlank="1" showInputMessage="1" showErrorMessage="1" sqref="O3" xr:uid="{B435AF79-DACA-49CB-BD72-F4EC33104F49}">
      <formula1>$A$47:$A$246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4</vt:i4>
      </vt:variant>
      <vt:variant>
        <vt:lpstr>ช่วงที่มีชื่อ</vt:lpstr>
      </vt:variant>
      <vt:variant>
        <vt:i4>2</vt:i4>
      </vt:variant>
    </vt:vector>
  </HeadingPairs>
  <TitlesOfParts>
    <vt:vector size="6" baseType="lpstr">
      <vt:lpstr>ลิสต์รายการโอนงิน</vt:lpstr>
      <vt:lpstr>รายงานโอนเงินแบบรายยปี</vt:lpstr>
      <vt:lpstr>บัญชีโอน</vt:lpstr>
      <vt:lpstr>ใบสำคัญจ่าย</vt:lpstr>
      <vt:lpstr>บัญชีโอน!Print_Area</vt:lpstr>
      <vt:lpstr>ลิสต์รายการโอนงิน!Print_Titles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Natthaphong Pipatsombat</dc:creator>
  <cp:lastModifiedBy>Natthaphong Pipatsombat</cp:lastModifiedBy>
  <dcterms:created xsi:type="dcterms:W3CDTF">2026-07-15T03:28:55Z</dcterms:created>
  <dcterms:modified xsi:type="dcterms:W3CDTF">2026-07-15T03:45:01Z</dcterms:modified>
</cp:coreProperties>
</file>